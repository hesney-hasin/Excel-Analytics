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aliha\Downloads\"/>
    </mc:Choice>
  </mc:AlternateContent>
  <xr:revisionPtr revIDLastSave="0" documentId="13_ncr:1_{F62CCC39-043E-4D2E-816A-7E70D3A913E3}" xr6:coauthVersionLast="47" xr6:coauthVersionMax="47" xr10:uidLastSave="{00000000-0000-0000-0000-000000000000}"/>
  <bookViews>
    <workbookView xWindow="-120" yWindow="-120" windowWidth="29040" windowHeight="15720" firstSheet="9" activeTab="12" xr2:uid="{24F116E1-EDE9-4E09-B1C1-F6C13E8A7916}"/>
  </bookViews>
  <sheets>
    <sheet name="archive (6)" sheetId="2" state="hidden" r:id="rId1"/>
    <sheet name="Products Table" sheetId="3" r:id="rId2"/>
    <sheet name="Revenue" sheetId="1" r:id="rId3"/>
    <sheet name="Defects" sheetId="4" r:id="rId4"/>
    <sheet name="Shipping Cost" sheetId="5" r:id="rId5"/>
    <sheet name="Stock vs Sales" sheetId="6" r:id="rId6"/>
    <sheet name=" Mfg Cost vs Revenue" sheetId="7" r:id="rId7"/>
    <sheet name="Inspection Faliure by prod-typ " sheetId="8" r:id="rId8"/>
    <sheet name="Avg stck lvl by prod type" sheetId="9" r:id="rId9"/>
    <sheet name="Shipping Cost by carrier" sheetId="10" r:id="rId10"/>
    <sheet name="Lead Time By supplier" sheetId="11" r:id="rId11"/>
    <sheet name=" Production Volume by Supplier" sheetId="12" r:id="rId12"/>
    <sheet name="Dashboard" sheetId="13" r:id="rId13"/>
  </sheets>
  <definedNames>
    <definedName name="_xlcn.WorksheetConnection_SupplyChainPerformanceAnalysis.xlsxProducts_Table1" hidden="1">Products_Table[]</definedName>
    <definedName name="ExternalData_1" localSheetId="0" hidden="1">'archive (6)'!$A$1:$F$2</definedName>
    <definedName name="ExternalData_2" localSheetId="1" hidden="1">'Products Table'!$A$1:$X$101</definedName>
    <definedName name="Slicer_Product_type">#N/A</definedName>
  </definedNames>
  <calcPr calcId="191029"/>
  <pivotCaches>
    <pivotCache cacheId="361" r:id="rId14"/>
    <pivotCache cacheId="364" r:id="rId15"/>
    <pivotCache cacheId="367" r:id="rId16"/>
    <pivotCache cacheId="370" r:id="rId17"/>
    <pivotCache cacheId="373" r:id="rId18"/>
    <pivotCache cacheId="376" r:id="rId19"/>
    <pivotCache cacheId="379" r:id="rId20"/>
    <pivotCache cacheId="382" r:id="rId21"/>
    <pivotCache cacheId="385" r:id="rId22"/>
    <pivotCache cacheId="388" r:id="rId23"/>
  </pivotCaches>
  <extLst>
    <ext xmlns:x14="http://schemas.microsoft.com/office/spreadsheetml/2009/9/main" uri="{876F7934-8845-4945-9796-88D515C7AA90}">
      <x14:pivotCaches>
        <pivotCache cacheId="175" r:id="rId24"/>
      </x14:pivotCaches>
    </ex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rchive  6_4b1aa1a6-434d-4f4b-b18b-5f152b0c67d0" name="archive  6" connection="Query - archive (6)"/>
          <x15:modelTable id="Products Table_d318e3a1-842a-4ac4-bb8b-c072610c3899" name="Products Table" connection="Query - Products Table"/>
          <x15:modelTable id="Products_Table" name="Products_Table" connection="WorksheetConnection_Supply Chain Performance Analysis.xlsx!Products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13" l="1"/>
  <c r="U2" i="13"/>
  <c r="R2"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0FD3A4-DD99-461B-B8E8-2FC0051673C4}" keepAlive="1" name="ModelConnection_ExternalData_1" description="Data Model" type="5" refreshedVersion="8" minRefreshableVersion="5" saveData="1">
    <dbPr connection="Data Model Connection" command="archive  6" commandType="3"/>
    <extLst>
      <ext xmlns:x15="http://schemas.microsoft.com/office/spreadsheetml/2010/11/main" uri="{DE250136-89BD-433C-8126-D09CA5730AF9}">
        <x15:connection id="" model="1"/>
      </ext>
    </extLst>
  </connection>
  <connection id="2" xr16:uid="{3D7047F9-6D65-406A-8FD8-C69B07B41769}" keepAlive="1" name="ModelConnection_ExternalData_2" description="Data Model" type="5" refreshedVersion="8" minRefreshableVersion="5" saveData="1">
    <dbPr connection="Data Model Connection" command="Products Table" commandType="3"/>
    <extLst>
      <ext xmlns:x15="http://schemas.microsoft.com/office/spreadsheetml/2010/11/main" uri="{DE250136-89BD-433C-8126-D09CA5730AF9}">
        <x15:connection id="" model="1"/>
      </ext>
    </extLst>
  </connection>
  <connection id="3" xr16:uid="{518750D8-E230-4F22-97CD-6CC3D7F729D4}" name="Query - archive (6)" description="Connection to the 'archive (6)' query in the workbook." type="100" refreshedVersion="8" minRefreshableVersion="5">
    <extLst>
      <ext xmlns:x15="http://schemas.microsoft.com/office/spreadsheetml/2010/11/main" uri="{DE250136-89BD-433C-8126-D09CA5730AF9}">
        <x15:connection id="52bcf87f-1e0d-4d23-864e-bda60598fa59"/>
      </ext>
    </extLst>
  </connection>
  <connection id="4" xr16:uid="{16CA7263-84E5-41B5-959E-13B904293E68}" name="Query - Products Table" description="Connection to the 'Products Table' query in the workbook." type="100" refreshedVersion="8" minRefreshableVersion="5">
    <extLst>
      <ext xmlns:x15="http://schemas.microsoft.com/office/spreadsheetml/2010/11/main" uri="{DE250136-89BD-433C-8126-D09CA5730AF9}">
        <x15:connection id="e075dd49-2d39-4e3c-a36e-cc07a0518c32"/>
      </ext>
    </extLst>
  </connection>
  <connection id="5" xr16:uid="{849615F1-3346-49A1-9E72-3CAE6AAB59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76825B0-A8DA-464F-AC6E-42337E04C5D5}" name="WorksheetConnection_Supply Chain Performance Analysis.xlsx!Products_Table" type="102" refreshedVersion="8" minRefreshableVersion="5">
    <extLst>
      <ext xmlns:x15="http://schemas.microsoft.com/office/spreadsheetml/2010/11/main" uri="{DE250136-89BD-433C-8126-D09CA5730AF9}">
        <x15:connection id="Products_Table">
          <x15:rangePr sourceName="_xlcn.WorksheetConnection_SupplyChainPerformanceAnalysis.xlsxProducts_Table1"/>
        </x15:connection>
      </ext>
    </extLst>
  </connection>
</connections>
</file>

<file path=xl/sharedStrings.xml><?xml version="1.0" encoding="utf-8"?>
<sst xmlns="http://schemas.openxmlformats.org/spreadsheetml/2006/main" count="1017" uniqueCount="180">
  <si>
    <t>Name</t>
  </si>
  <si>
    <t>Extension</t>
  </si>
  <si>
    <t>Date accessed</t>
  </si>
  <si>
    <t>Date modified</t>
  </si>
  <si>
    <t>Date created</t>
  </si>
  <si>
    <t>Folder Path</t>
  </si>
  <si>
    <t>supply_chain_data.csv</t>
  </si>
  <si>
    <t>.csv</t>
  </si>
  <si>
    <t>C:\Users\Maliha\Downloads\archive (6)\</t>
  </si>
  <si>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</si>
  <si>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</si>
  <si>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</si>
  <si>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</si>
  <si>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</si>
  <si>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</si>
  <si>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</si>
  <si>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</si>
  <si>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</si>
  <si>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</si>
  <si>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</si>
  <si>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</si>
  <si>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</si>
  <si>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</si>
  <si>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</si>
  <si>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</si>
  <si>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</si>
  <si>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</si>
  <si>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</si>
  <si>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</si>
  <si>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</si>
  <si>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</si>
  <si>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</si>
  <si>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</si>
  <si>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</si>
  <si>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</si>
  <si>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</si>
  <si>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</si>
  <si>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</si>
  <si>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</si>
  <si>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</si>
  <si>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</si>
  <si>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</si>
  <si>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</si>
  <si>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</si>
  <si>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</si>
  <si>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</si>
  <si>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</si>
  <si>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</si>
  <si>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</si>
  <si>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</si>
  <si>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</si>
  <si>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</si>
  <si>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</si>
  <si>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</si>
  <si>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</si>
  <si>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</si>
  <si>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</si>
  <si>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</si>
  <si>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</si>
  <si>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</si>
  <si>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</si>
  <si>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</si>
  <si>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</si>
  <si>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</si>
  <si>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</si>
  <si>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</si>
  <si>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</si>
  <si>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</si>
  <si>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</si>
  <si>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</si>
  <si>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</si>
  <si>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</si>
  <si>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</si>
  <si>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</si>
  <si>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</si>
  <si>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</si>
  <si>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</si>
  <si>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</si>
  <si>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</si>
  <si>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</si>
  <si>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</si>
  <si>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</si>
  <si>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</si>
  <si>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</si>
  <si>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</si>
  <si>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</si>
  <si>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</si>
  <si>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</si>
  <si>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</si>
  <si>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</si>
  <si>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</si>
  <si>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</si>
  <si>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</si>
  <si>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</si>
  <si>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</si>
  <si>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</si>
  <si>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</si>
  <si>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</si>
  <si>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</si>
  <si>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</si>
  <si>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</si>
  <si>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</si>
  <si>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</si>
  <si>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</si>
  <si>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</si>
  <si>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</si>
  <si>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</si>
  <si>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</si>
  <si>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</si>
  <si>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</si>
  <si>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</si>
  <si>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</si>
  <si>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</si>
  <si>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</si>
  <si>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</si>
  <si>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</si>
  <si>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</si>
  <si>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</si>
  <si>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</si>
  <si>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</si>
  <si>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</si>
  <si>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</si>
  <si>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</si>
  <si>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</si>
  <si>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</si>
  <si>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</si>
  <si>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</si>
  <si>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</si>
  <si>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</si>
  <si>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</si>
  <si>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</si>
  <si>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</si>
  <si>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</si>
  <si>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</si>
  <si>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</si>
  <si>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</si>
  <si>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</si>
  <si>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</si>
  <si>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</si>
  <si>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</si>
  <si>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</si>
  <si>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</si>
  <si>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</si>
  <si>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</si>
  <si>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</si>
  <si>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</si>
  <si>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</si>
  <si>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</si>
  <si>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</si>
  <si>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</si>
  <si>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</si>
  <si>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</si>
  <si>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</si>
  <si>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</si>
  <si>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</si>
  <si>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</si>
  <si>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</si>
  <si>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</si>
  <si>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</si>
  <si>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</si>
  <si>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</si>
  <si>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</si>
  <si>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</si>
  <si>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Row Labels</t>
  </si>
  <si>
    <t>Grand Total</t>
  </si>
  <si>
    <t>Sum of Revenue generated</t>
  </si>
  <si>
    <t>Average of Defect rates</t>
  </si>
  <si>
    <t>Average of Shipping costs</t>
  </si>
  <si>
    <t>Sum of Number of products sold</t>
  </si>
  <si>
    <t>Average of Stock levels</t>
  </si>
  <si>
    <t>Average of Manufacturing costs</t>
  </si>
  <si>
    <t>Count of SKU</t>
  </si>
  <si>
    <t>Average of Lead time</t>
  </si>
  <si>
    <t>Sum of Production volumes</t>
  </si>
  <si>
    <t>Supply Chain Performance Analysis</t>
  </si>
  <si>
    <t>Identifying Quality, Cost &amp; Efficiency Gaps | Data Source: Kaggle Supply Chain Dataset</t>
  </si>
  <si>
    <t>Total Product</t>
  </si>
  <si>
    <t>Total Revenue</t>
  </si>
  <si>
    <t>Avg Defect Rate</t>
  </si>
  <si>
    <t>Avg Lead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</si>
</sst>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0" formatCode="0.0"/>
    <numFmt numFmtId="172" formatCode="_-&quot;£&quot;* #,##0_-;\-&quot;£&quot;* #,##0_-;_-&quot;£&quot;* &quot;-&quot;??_-;_-@_-"/>
  </numFmts>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b/>
      <sz val="20"/>
      <color theme="1"/>
      <name val="Aptos Narrow"/>
      <family val="2"/>
      <scheme val="minor"/>
    </font>
    <font>
      <i/>
      <sz val="11"/>
      <color theme="1"/>
      <name val="Aptos Narrow"/>
      <family val="2"/>
      <scheme val="minor"/>
    </font>
  </fonts>
  <fills count="6">
    <fill>
      <patternFill patternType="none"/>
    </fill>
    <fill>
      <patternFill patternType="gray125"/>
    </fill>
    <fill>
      <patternFill patternType="solid">
        <fgColor theme="6"/>
      </patternFill>
    </fill>
    <fill>
      <patternFill patternType="solid">
        <fgColor theme="9" tint="0.39997558519241921"/>
        <bgColor indexed="65"/>
      </patternFill>
    </fill>
    <fill>
      <patternFill patternType="solid">
        <fgColor theme="3" tint="0.499984740745262"/>
        <bgColor indexed="64"/>
      </patternFill>
    </fill>
    <fill>
      <patternFill patternType="solid">
        <fgColor theme="3" tint="0.749992370372631"/>
        <bgColor indexed="64"/>
      </patternFill>
    </fill>
  </fills>
  <borders count="1">
    <border>
      <left/>
      <right/>
      <top/>
      <bottom/>
      <diagonal/>
    </border>
  </borders>
  <cellStyleXfs count="3">
    <xf numFmtId="0" fontId="0" fillId="0" borderId="0"/>
    <xf numFmtId="0" fontId="3" fillId="2" borderId="0" applyNumberFormat="0" applyBorder="0" applyAlignment="0" applyProtection="0"/>
    <xf numFmtId="0" fontId="1" fillId="3" borderId="0" applyNumberFormat="0" applyBorder="0" applyAlignment="0" applyProtection="0"/>
  </cellStyleXfs>
  <cellXfs count="16">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4" fillId="4" borderId="0" xfId="0" applyFont="1" applyFill="1" applyAlignment="1">
      <alignment horizontal="center"/>
    </xf>
    <xf numFmtId="0" fontId="5" fillId="5" borderId="0" xfId="0" applyFont="1" applyFill="1" applyAlignment="1">
      <alignment horizontal="center"/>
    </xf>
    <xf numFmtId="0" fontId="3" fillId="2" borderId="0" xfId="1" applyAlignment="1">
      <alignment horizontal="center"/>
    </xf>
    <xf numFmtId="0" fontId="3" fillId="2" borderId="0" xfId="1" applyAlignment="1"/>
    <xf numFmtId="0" fontId="1" fillId="3" borderId="0" xfId="2" applyAlignment="1">
      <alignment horizontal="center"/>
    </xf>
    <xf numFmtId="0" fontId="2" fillId="2" borderId="0" xfId="1" applyFont="1" applyAlignment="1">
      <alignment horizontal="center"/>
    </xf>
    <xf numFmtId="0" fontId="2" fillId="2" borderId="0" xfId="1" applyFont="1" applyAlignment="1"/>
    <xf numFmtId="2" fontId="1" fillId="3" borderId="0" xfId="2" applyNumberFormat="1" applyAlignment="1">
      <alignment horizontal="center"/>
    </xf>
    <xf numFmtId="170" fontId="1" fillId="3" borderId="0" xfId="2" applyNumberFormat="1" applyAlignment="1">
      <alignment horizontal="center"/>
    </xf>
    <xf numFmtId="172" fontId="1" fillId="3" borderId="0" xfId="2" applyNumberFormat="1" applyAlignment="1">
      <alignment horizontal="center"/>
    </xf>
  </cellXfs>
  <cellStyles count="3">
    <cellStyle name="60% - Accent6" xfId="2" builtinId="52"/>
    <cellStyle name="Accent3" xfId="1" builtinId="37"/>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Analysis.xlsx]Revenue!PT1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Total Revenue by Product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6680770775542"/>
          <c:y val="0.20079925897718529"/>
          <c:w val="0.5602938511689598"/>
          <c:h val="0.67133936379580716"/>
        </c:manualLayout>
      </c:layout>
      <c:barChart>
        <c:barDir val="bar"/>
        <c:grouping val="stacked"/>
        <c:varyColors val="0"/>
        <c:ser>
          <c:idx val="0"/>
          <c:order val="0"/>
          <c:tx>
            <c:strRef>
              <c:f>Revenue!$B$1</c:f>
              <c:strCache>
                <c:ptCount val="1"/>
                <c:pt idx="0">
                  <c:v>Total</c:v>
                </c:pt>
              </c:strCache>
            </c:strRef>
          </c:tx>
          <c:spPr>
            <a:solidFill>
              <a:schemeClr val="accent1"/>
            </a:solidFill>
            <a:ln>
              <a:noFill/>
            </a:ln>
            <a:effectLst/>
          </c:spPr>
          <c:invertIfNegative val="0"/>
          <c:cat>
            <c:strRef>
              <c:f>Revenue!$A$2:$A$5</c:f>
              <c:strCache>
                <c:ptCount val="3"/>
                <c:pt idx="0">
                  <c:v>cosmetics</c:v>
                </c:pt>
                <c:pt idx="1">
                  <c:v>haircare</c:v>
                </c:pt>
                <c:pt idx="2">
                  <c:v>skincare</c:v>
                </c:pt>
              </c:strCache>
            </c:strRef>
          </c:cat>
          <c:val>
            <c:numRef>
              <c:f>Revenue!$B$2:$B$5</c:f>
              <c:numCache>
                <c:formatCode>General</c:formatCode>
                <c:ptCount val="3"/>
                <c:pt idx="0">
                  <c:v>161521.26599948312</c:v>
                </c:pt>
                <c:pt idx="1">
                  <c:v>174455.39060546231</c:v>
                </c:pt>
                <c:pt idx="2">
                  <c:v>241628.16213306325</c:v>
                </c:pt>
              </c:numCache>
            </c:numRef>
          </c:val>
          <c:extLst>
            <c:ext xmlns:c16="http://schemas.microsoft.com/office/drawing/2014/chart" uri="{C3380CC4-5D6E-409C-BE32-E72D297353CC}">
              <c16:uniqueId val="{00000000-92CD-4EDF-87F0-54D542AA2AB4}"/>
            </c:ext>
          </c:extLst>
        </c:ser>
        <c:dLbls>
          <c:showLegendKey val="0"/>
          <c:showVal val="0"/>
          <c:showCatName val="0"/>
          <c:showSerName val="0"/>
          <c:showPercent val="0"/>
          <c:showBubbleSize val="0"/>
        </c:dLbls>
        <c:gapWidth val="150"/>
        <c:overlap val="100"/>
        <c:axId val="1969121615"/>
        <c:axId val="1969120175"/>
      </c:barChart>
      <c:catAx>
        <c:axId val="196912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20175"/>
        <c:crosses val="autoZero"/>
        <c:auto val="1"/>
        <c:lblAlgn val="ctr"/>
        <c:lblOffset val="100"/>
        <c:noMultiLvlLbl val="0"/>
      </c:catAx>
      <c:valAx>
        <c:axId val="1969120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2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Analysis.xlsx]Defects!Average Defect Rate by Supplier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Average Defect Rate by Supplier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Defects!$B$1</c:f>
              <c:strCache>
                <c:ptCount val="1"/>
                <c:pt idx="0">
                  <c:v>Total</c:v>
                </c:pt>
              </c:strCache>
            </c:strRef>
          </c:tx>
          <c:spPr>
            <a:solidFill>
              <a:schemeClr val="accent1"/>
            </a:solidFill>
            <a:ln>
              <a:noFill/>
            </a:ln>
            <a:effectLst/>
          </c:spPr>
          <c:invertIfNegative val="0"/>
          <c:cat>
            <c:strRef>
              <c:f>Defects!$A$2:$A$7</c:f>
              <c:strCache>
                <c:ptCount val="5"/>
                <c:pt idx="0">
                  <c:v>Supplier 1</c:v>
                </c:pt>
                <c:pt idx="1">
                  <c:v>Supplier 2</c:v>
                </c:pt>
                <c:pt idx="2">
                  <c:v>Supplier 3</c:v>
                </c:pt>
                <c:pt idx="3">
                  <c:v>Supplier 4</c:v>
                </c:pt>
                <c:pt idx="4">
                  <c:v>Supplier 5</c:v>
                </c:pt>
              </c:strCache>
            </c:strRef>
          </c:cat>
          <c:val>
            <c:numRef>
              <c:f>Defects!$B$2:$B$7</c:f>
              <c:numCache>
                <c:formatCode>General</c:formatCode>
                <c:ptCount val="5"/>
                <c:pt idx="0">
                  <c:v>1.8036297116882525</c:v>
                </c:pt>
                <c:pt idx="1">
                  <c:v>2.3627501450718813</c:v>
                </c:pt>
                <c:pt idx="2">
                  <c:v>2.4657860307644701</c:v>
                </c:pt>
                <c:pt idx="3">
                  <c:v>2.3373974005913398</c:v>
                </c:pt>
                <c:pt idx="4">
                  <c:v>2.6654083441492014</c:v>
                </c:pt>
              </c:numCache>
            </c:numRef>
          </c:val>
          <c:extLst>
            <c:ext xmlns:c16="http://schemas.microsoft.com/office/drawing/2014/chart" uri="{C3380CC4-5D6E-409C-BE32-E72D297353CC}">
              <c16:uniqueId val="{00000000-45B1-4658-AB6E-1780BDF9C3E0}"/>
            </c:ext>
          </c:extLst>
        </c:ser>
        <c:dLbls>
          <c:showLegendKey val="0"/>
          <c:showVal val="0"/>
          <c:showCatName val="0"/>
          <c:showSerName val="0"/>
          <c:showPercent val="0"/>
          <c:showBubbleSize val="0"/>
        </c:dLbls>
        <c:gapWidth val="182"/>
        <c:axId val="1152808559"/>
        <c:axId val="1152809999"/>
      </c:barChart>
      <c:catAx>
        <c:axId val="115280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809999"/>
        <c:crosses val="autoZero"/>
        <c:auto val="1"/>
        <c:lblAlgn val="ctr"/>
        <c:lblOffset val="100"/>
        <c:noMultiLvlLbl val="0"/>
      </c:catAx>
      <c:valAx>
        <c:axId val="1152809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80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Analysis.xlsx]Shipping Cost!Average Shipping Cost by Transport Mode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Average Shipping Cost by Transport Mode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'Shipping Cost'!$B$1</c:f>
              <c:strCache>
                <c:ptCount val="1"/>
                <c:pt idx="0">
                  <c:v>Total</c:v>
                </c:pt>
              </c:strCache>
            </c:strRef>
          </c:tx>
          <c:spPr>
            <a:solidFill>
              <a:schemeClr val="accent1"/>
            </a:solidFill>
            <a:ln>
              <a:noFill/>
            </a:ln>
            <a:effectLst/>
          </c:spPr>
          <c:invertIfNegative val="0"/>
          <c:cat>
            <c:strRef>
              <c:f>'Shipping Cost'!$A$2:$A$6</c:f>
              <c:strCache>
                <c:ptCount val="4"/>
                <c:pt idx="0">
                  <c:v>Air</c:v>
                </c:pt>
                <c:pt idx="1">
                  <c:v>Rail</c:v>
                </c:pt>
                <c:pt idx="2">
                  <c:v>Road</c:v>
                </c:pt>
                <c:pt idx="3">
                  <c:v>Sea</c:v>
                </c:pt>
              </c:strCache>
            </c:strRef>
          </c:cat>
          <c:val>
            <c:numRef>
              <c:f>'Shipping Cost'!$B$2:$B$6</c:f>
              <c:numCache>
                <c:formatCode>General</c:formatCode>
                <c:ptCount val="4"/>
                <c:pt idx="0">
                  <c:v>6.0178393777286185</c:v>
                </c:pt>
                <c:pt idx="1">
                  <c:v>5.4690979361028607</c:v>
                </c:pt>
                <c:pt idx="2">
                  <c:v>5.5421153900457982</c:v>
                </c:pt>
                <c:pt idx="3">
                  <c:v>4.9702938152239042</c:v>
                </c:pt>
              </c:numCache>
            </c:numRef>
          </c:val>
          <c:extLst>
            <c:ext xmlns:c16="http://schemas.microsoft.com/office/drawing/2014/chart" uri="{C3380CC4-5D6E-409C-BE32-E72D297353CC}">
              <c16:uniqueId val="{00000000-B780-42AE-956B-70E6531F5B13}"/>
            </c:ext>
          </c:extLst>
        </c:ser>
        <c:dLbls>
          <c:showLegendKey val="0"/>
          <c:showVal val="0"/>
          <c:showCatName val="0"/>
          <c:showSerName val="0"/>
          <c:showPercent val="0"/>
          <c:showBubbleSize val="0"/>
        </c:dLbls>
        <c:gapWidth val="150"/>
        <c:overlap val="100"/>
        <c:axId val="1023076079"/>
        <c:axId val="1023078479"/>
      </c:barChart>
      <c:catAx>
        <c:axId val="102307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78479"/>
        <c:crosses val="autoZero"/>
        <c:auto val="1"/>
        <c:lblAlgn val="ctr"/>
        <c:lblOffset val="100"/>
        <c:noMultiLvlLbl val="0"/>
      </c:catAx>
      <c:valAx>
        <c:axId val="1023078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7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Analysis.xlsx]Stock vs Sales!Stock Levels vs Products Sold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Stock Levels vs Products Sold</a:t>
            </a:r>
            <a:endParaRPr lang="en-GB" b="1">
              <a:solidFill>
                <a:sysClr val="windowText" lastClr="000000"/>
              </a:solidFill>
            </a:endParaRPr>
          </a:p>
        </c:rich>
      </c:tx>
      <c:layout>
        <c:manualLayout>
          <c:xMode val="edge"/>
          <c:yMode val="edge"/>
          <c:x val="0.31751081394155339"/>
          <c:y val="0.107247106965067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'Stock vs Sales'!$B$1</c:f>
              <c:strCache>
                <c:ptCount val="1"/>
                <c:pt idx="0">
                  <c:v>Average of Stock levels</c:v>
                </c:pt>
              </c:strCache>
            </c:strRef>
          </c:tx>
          <c:spPr>
            <a:solidFill>
              <a:schemeClr val="accent1"/>
            </a:solidFill>
            <a:ln>
              <a:noFill/>
            </a:ln>
            <a:effectLst/>
          </c:spPr>
          <c:invertIfNegative val="0"/>
          <c:cat>
            <c:strRef>
              <c:f>'Stock vs Sales'!$A$2:$A$5</c:f>
              <c:strCache>
                <c:ptCount val="3"/>
                <c:pt idx="0">
                  <c:v>cosmetics</c:v>
                </c:pt>
                <c:pt idx="1">
                  <c:v>haircare</c:v>
                </c:pt>
                <c:pt idx="2">
                  <c:v>skincare</c:v>
                </c:pt>
              </c:strCache>
            </c:strRef>
          </c:cat>
          <c:val>
            <c:numRef>
              <c:f>'Stock vs Sales'!$B$2:$B$5</c:f>
              <c:numCache>
                <c:formatCode>General</c:formatCode>
                <c:ptCount val="3"/>
                <c:pt idx="0">
                  <c:v>58.653846153846153</c:v>
                </c:pt>
                <c:pt idx="1">
                  <c:v>48.352941176470587</c:v>
                </c:pt>
                <c:pt idx="2">
                  <c:v>40.200000000000003</c:v>
                </c:pt>
              </c:numCache>
            </c:numRef>
          </c:val>
          <c:extLst>
            <c:ext xmlns:c16="http://schemas.microsoft.com/office/drawing/2014/chart" uri="{C3380CC4-5D6E-409C-BE32-E72D297353CC}">
              <c16:uniqueId val="{00000000-14AE-49F0-931A-A5BEB7AF2A78}"/>
            </c:ext>
          </c:extLst>
        </c:ser>
        <c:ser>
          <c:idx val="1"/>
          <c:order val="1"/>
          <c:tx>
            <c:strRef>
              <c:f>'Stock vs Sales'!$C$1</c:f>
              <c:strCache>
                <c:ptCount val="1"/>
                <c:pt idx="0">
                  <c:v>Sum of Number of products sold</c:v>
                </c:pt>
              </c:strCache>
            </c:strRef>
          </c:tx>
          <c:spPr>
            <a:solidFill>
              <a:schemeClr val="accent2"/>
            </a:solidFill>
            <a:ln>
              <a:noFill/>
            </a:ln>
            <a:effectLst/>
          </c:spPr>
          <c:invertIfNegative val="0"/>
          <c:cat>
            <c:strRef>
              <c:f>'Stock vs Sales'!$A$2:$A$5</c:f>
              <c:strCache>
                <c:ptCount val="3"/>
                <c:pt idx="0">
                  <c:v>cosmetics</c:v>
                </c:pt>
                <c:pt idx="1">
                  <c:v>haircare</c:v>
                </c:pt>
                <c:pt idx="2">
                  <c:v>skincare</c:v>
                </c:pt>
              </c:strCache>
            </c:strRef>
          </c:cat>
          <c:val>
            <c:numRef>
              <c:f>'Stock vs Sales'!$C$2:$C$5</c:f>
              <c:numCache>
                <c:formatCode>General</c:formatCode>
                <c:ptCount val="3"/>
                <c:pt idx="0">
                  <c:v>11757</c:v>
                </c:pt>
                <c:pt idx="1">
                  <c:v>13611</c:v>
                </c:pt>
                <c:pt idx="2">
                  <c:v>20731</c:v>
                </c:pt>
              </c:numCache>
            </c:numRef>
          </c:val>
          <c:extLst>
            <c:ext xmlns:c16="http://schemas.microsoft.com/office/drawing/2014/chart" uri="{C3380CC4-5D6E-409C-BE32-E72D297353CC}">
              <c16:uniqueId val="{00000001-14AE-49F0-931A-A5BEB7AF2A78}"/>
            </c:ext>
          </c:extLst>
        </c:ser>
        <c:dLbls>
          <c:showLegendKey val="0"/>
          <c:showVal val="0"/>
          <c:showCatName val="0"/>
          <c:showSerName val="0"/>
          <c:showPercent val="0"/>
          <c:showBubbleSize val="0"/>
        </c:dLbls>
        <c:gapWidth val="182"/>
        <c:axId val="2034159455"/>
        <c:axId val="2034168575"/>
      </c:barChart>
      <c:catAx>
        <c:axId val="203415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8575"/>
        <c:crosses val="autoZero"/>
        <c:auto val="1"/>
        <c:lblAlgn val="ctr"/>
        <c:lblOffset val="100"/>
        <c:noMultiLvlLbl val="0"/>
      </c:catAx>
      <c:valAx>
        <c:axId val="203416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 Mfg Cost vs Revenue!Manufacturing Cost vs Revenue by Product</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sz="1400" b="1" i="0" u="none" strike="noStrike" baseline="0">
                <a:solidFill>
                  <a:sysClr val="windowText" lastClr="000000"/>
                </a:solidFill>
              </a:rPr>
              <a:t>Manufacturing Cost vs Revenue by Product</a:t>
            </a:r>
            <a:endParaRPr lang="en-GB" b="1">
              <a:solidFill>
                <a:sysClr val="windowText" lastClr="000000"/>
              </a:solidFill>
            </a:endParaRPr>
          </a:p>
        </c:rich>
      </c:tx>
      <c:layout>
        <c:manualLayout>
          <c:xMode val="edge"/>
          <c:yMode val="edge"/>
          <c:x val="0.22643044619422575"/>
          <c:y val="0.1378681831437736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Mfg Cost vs Revenue'!$B$1</c:f>
              <c:strCache>
                <c:ptCount val="1"/>
                <c:pt idx="0">
                  <c:v>Average of Manufacturing costs</c:v>
                </c:pt>
              </c:strCache>
            </c:strRef>
          </c:tx>
          <c:spPr>
            <a:solidFill>
              <a:schemeClr val="accent1"/>
            </a:solidFill>
            <a:ln>
              <a:noFill/>
            </a:ln>
            <a:effectLst/>
          </c:spPr>
          <c:invertIfNegative val="0"/>
          <c:cat>
            <c:strRef>
              <c:f>' Mfg Cost vs Revenue'!$A$2:$A$5</c:f>
              <c:strCache>
                <c:ptCount val="3"/>
                <c:pt idx="0">
                  <c:v>cosmetics</c:v>
                </c:pt>
                <c:pt idx="1">
                  <c:v>haircare</c:v>
                </c:pt>
                <c:pt idx="2">
                  <c:v>skincare</c:v>
                </c:pt>
              </c:strCache>
            </c:strRef>
          </c:cat>
          <c:val>
            <c:numRef>
              <c:f>' Mfg Cost vs Revenue'!$B$2:$B$5</c:f>
              <c:numCache>
                <c:formatCode>General</c:formatCode>
                <c:ptCount val="3"/>
                <c:pt idx="0">
                  <c:v>43.052740496493421</c:v>
                </c:pt>
                <c:pt idx="1">
                  <c:v>48.457993420627254</c:v>
                </c:pt>
                <c:pt idx="2">
                  <c:v>48.993157373420914</c:v>
                </c:pt>
              </c:numCache>
            </c:numRef>
          </c:val>
          <c:extLst>
            <c:ext xmlns:c16="http://schemas.microsoft.com/office/drawing/2014/chart" uri="{C3380CC4-5D6E-409C-BE32-E72D297353CC}">
              <c16:uniqueId val="{00000000-7E10-435D-93A9-928C2CC5A8B6}"/>
            </c:ext>
          </c:extLst>
        </c:ser>
        <c:ser>
          <c:idx val="1"/>
          <c:order val="1"/>
          <c:tx>
            <c:strRef>
              <c:f>' Mfg Cost vs Revenue'!$C$1</c:f>
              <c:strCache>
                <c:ptCount val="1"/>
                <c:pt idx="0">
                  <c:v>Sum of Revenue generated</c:v>
                </c:pt>
              </c:strCache>
            </c:strRef>
          </c:tx>
          <c:spPr>
            <a:solidFill>
              <a:schemeClr val="accent2"/>
            </a:solidFill>
            <a:ln>
              <a:noFill/>
            </a:ln>
            <a:effectLst/>
          </c:spPr>
          <c:invertIfNegative val="0"/>
          <c:cat>
            <c:strRef>
              <c:f>' Mfg Cost vs Revenue'!$A$2:$A$5</c:f>
              <c:strCache>
                <c:ptCount val="3"/>
                <c:pt idx="0">
                  <c:v>cosmetics</c:v>
                </c:pt>
                <c:pt idx="1">
                  <c:v>haircare</c:v>
                </c:pt>
                <c:pt idx="2">
                  <c:v>skincare</c:v>
                </c:pt>
              </c:strCache>
            </c:strRef>
          </c:cat>
          <c:val>
            <c:numRef>
              <c:f>' Mfg Cost vs Revenue'!$C$2:$C$5</c:f>
              <c:numCache>
                <c:formatCode>General</c:formatCode>
                <c:ptCount val="3"/>
                <c:pt idx="0">
                  <c:v>161521.26599948312</c:v>
                </c:pt>
                <c:pt idx="1">
                  <c:v>174455.39060546231</c:v>
                </c:pt>
                <c:pt idx="2">
                  <c:v>241628.16213306325</c:v>
                </c:pt>
              </c:numCache>
            </c:numRef>
          </c:val>
          <c:extLst>
            <c:ext xmlns:c16="http://schemas.microsoft.com/office/drawing/2014/chart" uri="{C3380CC4-5D6E-409C-BE32-E72D297353CC}">
              <c16:uniqueId val="{00000001-7E10-435D-93A9-928C2CC5A8B6}"/>
            </c:ext>
          </c:extLst>
        </c:ser>
        <c:dLbls>
          <c:showLegendKey val="0"/>
          <c:showVal val="0"/>
          <c:showCatName val="0"/>
          <c:showSerName val="0"/>
          <c:showPercent val="0"/>
          <c:showBubbleSize val="0"/>
        </c:dLbls>
        <c:gapWidth val="182"/>
        <c:axId val="2034158495"/>
        <c:axId val="2034167135"/>
      </c:barChart>
      <c:catAx>
        <c:axId val="203415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7135"/>
        <c:crosses val="autoZero"/>
        <c:auto val="1"/>
        <c:lblAlgn val="ctr"/>
        <c:lblOffset val="100"/>
        <c:noMultiLvlLbl val="0"/>
      </c:catAx>
      <c:valAx>
        <c:axId val="2034167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Analysis.xlsx]Inspection Faliure by prod-typ !Inspection Results by Product 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Inspection Results by Product Type</a:t>
            </a:r>
            <a:endParaRPr lang="en-US" b="1">
              <a:solidFill>
                <a:sysClr val="windowText" lastClr="000000"/>
              </a:solidFill>
            </a:endParaRPr>
          </a:p>
        </c:rich>
      </c:tx>
      <c:layout>
        <c:manualLayout>
          <c:xMode val="edge"/>
          <c:yMode val="edge"/>
          <c:x val="0.34299086757990865"/>
          <c:y val="7.8167876111546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'Inspection Faliure by prod-typ '!$B$1</c:f>
              <c:strCache>
                <c:ptCount val="1"/>
                <c:pt idx="0">
                  <c:v>Total</c:v>
                </c:pt>
              </c:strCache>
            </c:strRef>
          </c:tx>
          <c:spPr>
            <a:solidFill>
              <a:schemeClr val="accent1"/>
            </a:solidFill>
            <a:ln>
              <a:noFill/>
            </a:ln>
            <a:effectLst/>
          </c:spPr>
          <c:invertIfNegative val="0"/>
          <c:cat>
            <c:multiLvlStrRef>
              <c:f>'Inspection Faliure by prod-typ '!$A$2:$A$14</c:f>
              <c:multiLvlStrCache>
                <c:ptCount val="9"/>
                <c:lvl>
                  <c:pt idx="0">
                    <c:v>Fail</c:v>
                  </c:pt>
                  <c:pt idx="1">
                    <c:v>Pass</c:v>
                  </c:pt>
                  <c:pt idx="2">
                    <c:v>Pending</c:v>
                  </c:pt>
                  <c:pt idx="3">
                    <c:v>Fail</c:v>
                  </c:pt>
                  <c:pt idx="4">
                    <c:v>Pass</c:v>
                  </c:pt>
                  <c:pt idx="5">
                    <c:v>Pending</c:v>
                  </c:pt>
                  <c:pt idx="6">
                    <c:v>Fail</c:v>
                  </c:pt>
                  <c:pt idx="7">
                    <c:v>Pass</c:v>
                  </c:pt>
                  <c:pt idx="8">
                    <c:v>Pending</c:v>
                  </c:pt>
                </c:lvl>
                <c:lvl>
                  <c:pt idx="0">
                    <c:v>cosmetics</c:v>
                  </c:pt>
                  <c:pt idx="3">
                    <c:v>haircare</c:v>
                  </c:pt>
                  <c:pt idx="6">
                    <c:v>skincare</c:v>
                  </c:pt>
                </c:lvl>
              </c:multiLvlStrCache>
            </c:multiLvlStrRef>
          </c:cat>
          <c:val>
            <c:numRef>
              <c:f>'Inspection Faliure by prod-typ '!$B$2:$B$14</c:f>
              <c:numCache>
                <c:formatCode>General</c:formatCode>
                <c:ptCount val="9"/>
                <c:pt idx="0">
                  <c:v>10</c:v>
                </c:pt>
                <c:pt idx="1">
                  <c:v>6</c:v>
                </c:pt>
                <c:pt idx="2">
                  <c:v>10</c:v>
                </c:pt>
                <c:pt idx="3">
                  <c:v>13</c:v>
                </c:pt>
                <c:pt idx="4">
                  <c:v>6</c:v>
                </c:pt>
                <c:pt idx="5">
                  <c:v>15</c:v>
                </c:pt>
                <c:pt idx="6">
                  <c:v>13</c:v>
                </c:pt>
                <c:pt idx="7">
                  <c:v>11</c:v>
                </c:pt>
                <c:pt idx="8">
                  <c:v>16</c:v>
                </c:pt>
              </c:numCache>
            </c:numRef>
          </c:val>
          <c:extLst>
            <c:ext xmlns:c16="http://schemas.microsoft.com/office/drawing/2014/chart" uri="{C3380CC4-5D6E-409C-BE32-E72D297353CC}">
              <c16:uniqueId val="{00000000-8B15-41C8-B09E-2A7B41DE78BE}"/>
            </c:ext>
          </c:extLst>
        </c:ser>
        <c:dLbls>
          <c:showLegendKey val="0"/>
          <c:showVal val="0"/>
          <c:showCatName val="0"/>
          <c:showSerName val="0"/>
          <c:showPercent val="0"/>
          <c:showBubbleSize val="0"/>
        </c:dLbls>
        <c:gapWidth val="182"/>
        <c:axId val="2034163295"/>
        <c:axId val="2034158015"/>
      </c:barChart>
      <c:catAx>
        <c:axId val="203416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8015"/>
        <c:crosses val="autoZero"/>
        <c:auto val="1"/>
        <c:lblAlgn val="ctr"/>
        <c:lblOffset val="100"/>
        <c:noMultiLvlLbl val="0"/>
      </c:catAx>
      <c:valAx>
        <c:axId val="203415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Analysis.xlsx]Avg stck lvl by prod type!Average Stock Level by Product Type</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sz="1400" b="1" i="0" u="none" strike="noStrike" baseline="0">
                <a:solidFill>
                  <a:sysClr val="windowText" lastClr="000000"/>
                </a:solidFill>
              </a:rPr>
              <a:t>Average Stock Level by Product Type</a:t>
            </a:r>
            <a:endParaRPr lang="en-US" b="1">
              <a:solidFill>
                <a:sysClr val="windowText" lastClr="000000"/>
              </a:solidFill>
            </a:endParaRPr>
          </a:p>
        </c:rich>
      </c:tx>
      <c:layout>
        <c:manualLayout>
          <c:xMode val="edge"/>
          <c:yMode val="edge"/>
          <c:x val="0.2950267716535433"/>
          <c:y val="0.101073870570244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stck lvl by prod type'!$B$1</c:f>
              <c:strCache>
                <c:ptCount val="1"/>
                <c:pt idx="0">
                  <c:v>Total</c:v>
                </c:pt>
              </c:strCache>
            </c:strRef>
          </c:tx>
          <c:spPr>
            <a:solidFill>
              <a:schemeClr val="accent1"/>
            </a:solidFill>
            <a:ln>
              <a:noFill/>
            </a:ln>
            <a:effectLst/>
          </c:spPr>
          <c:invertIfNegative val="0"/>
          <c:cat>
            <c:strRef>
              <c:f>'Avg stck lvl by prod type'!$A$2:$A$5</c:f>
              <c:strCache>
                <c:ptCount val="3"/>
                <c:pt idx="0">
                  <c:v>cosmetics</c:v>
                </c:pt>
                <c:pt idx="1">
                  <c:v>haircare</c:v>
                </c:pt>
                <c:pt idx="2">
                  <c:v>skincare</c:v>
                </c:pt>
              </c:strCache>
            </c:strRef>
          </c:cat>
          <c:val>
            <c:numRef>
              <c:f>'Avg stck lvl by prod type'!$B$2:$B$5</c:f>
              <c:numCache>
                <c:formatCode>General</c:formatCode>
                <c:ptCount val="3"/>
                <c:pt idx="0">
                  <c:v>58.653846153846153</c:v>
                </c:pt>
                <c:pt idx="1">
                  <c:v>48.352941176470587</c:v>
                </c:pt>
                <c:pt idx="2">
                  <c:v>40.200000000000003</c:v>
                </c:pt>
              </c:numCache>
            </c:numRef>
          </c:val>
          <c:extLst>
            <c:ext xmlns:c16="http://schemas.microsoft.com/office/drawing/2014/chart" uri="{C3380CC4-5D6E-409C-BE32-E72D297353CC}">
              <c16:uniqueId val="{00000000-A43A-40A6-9CCC-86F16E5B4EBB}"/>
            </c:ext>
          </c:extLst>
        </c:ser>
        <c:dLbls>
          <c:showLegendKey val="0"/>
          <c:showVal val="0"/>
          <c:showCatName val="0"/>
          <c:showSerName val="0"/>
          <c:showPercent val="0"/>
          <c:showBubbleSize val="0"/>
        </c:dLbls>
        <c:gapWidth val="182"/>
        <c:axId val="2034164255"/>
        <c:axId val="2034162815"/>
      </c:barChart>
      <c:catAx>
        <c:axId val="203416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2815"/>
        <c:crosses val="autoZero"/>
        <c:auto val="1"/>
        <c:lblAlgn val="ctr"/>
        <c:lblOffset val="100"/>
        <c:noMultiLvlLbl val="0"/>
      </c:catAx>
      <c:valAx>
        <c:axId val="2034162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Analysis.xlsx]Shipping Cost by carrier!Orders by Shipping Carrier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Orders by Shipping Carrier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'Shipping Cost by carrier'!$B$1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'Shipping Cost by carrier'!$A$2:$A$5</c:f>
              <c:strCache>
                <c:ptCount val="3"/>
                <c:pt idx="0">
                  <c:v>Carrier A</c:v>
                </c:pt>
                <c:pt idx="1">
                  <c:v>Carrier B</c:v>
                </c:pt>
                <c:pt idx="2">
                  <c:v>Carrier C</c:v>
                </c:pt>
              </c:strCache>
            </c:strRef>
          </c:cat>
          <c:val>
            <c:numRef>
              <c:f>'Shipping Cost by carrier'!$B$2:$B$5</c:f>
              <c:numCache>
                <c:formatCode>General</c:formatCode>
                <c:ptCount val="3"/>
                <c:pt idx="0">
                  <c:v>5.554922521651271</c:v>
                </c:pt>
                <c:pt idx="1">
                  <c:v>5.5092469689287302</c:v>
                </c:pt>
                <c:pt idx="2">
                  <c:v>5.5992916183375057</c:v>
                </c:pt>
              </c:numCache>
            </c:numRef>
          </c:val>
          <c:extLst>
            <c:ext xmlns:c16="http://schemas.microsoft.com/office/drawing/2014/chart" uri="{C3380CC4-5D6E-409C-BE32-E72D297353CC}">
              <c16:uniqueId val="{00000000-57E5-4AB8-AEDF-BE730D4A54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Analysis.xlsx]Lead Time By supplier!Average Lead Time by Supplier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Average Lead Time by Supplier</a:t>
            </a:r>
            <a:endParaRPr lang="en-US" b="1" i="0">
              <a:solidFill>
                <a:sysClr val="windowText" lastClr="000000"/>
              </a:solidFill>
            </a:endParaRPr>
          </a:p>
        </c:rich>
      </c:tx>
      <c:layout>
        <c:manualLayout>
          <c:xMode val="edge"/>
          <c:yMode val="edge"/>
          <c:x val="0.34012350795331864"/>
          <c:y val="7.09118849117744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'Lead Time By supplier'!$B$1</c:f>
              <c:strCache>
                <c:ptCount val="1"/>
                <c:pt idx="0">
                  <c:v>Total</c:v>
                </c:pt>
              </c:strCache>
            </c:strRef>
          </c:tx>
          <c:spPr>
            <a:solidFill>
              <a:schemeClr val="accent1"/>
            </a:solidFill>
            <a:ln>
              <a:noFill/>
            </a:ln>
            <a:effectLst/>
            <a:sp3d/>
          </c:spPr>
          <c:invertIfNegative val="0"/>
          <c:cat>
            <c:strRef>
              <c:f>'Lead Time By supplier'!$A$2:$A$7</c:f>
              <c:strCache>
                <c:ptCount val="5"/>
                <c:pt idx="0">
                  <c:v>Supplier 1</c:v>
                </c:pt>
                <c:pt idx="1">
                  <c:v>Supplier 2</c:v>
                </c:pt>
                <c:pt idx="2">
                  <c:v>Supplier 3</c:v>
                </c:pt>
                <c:pt idx="3">
                  <c:v>Supplier 4</c:v>
                </c:pt>
                <c:pt idx="4">
                  <c:v>Supplier 5</c:v>
                </c:pt>
              </c:strCache>
            </c:strRef>
          </c:cat>
          <c:val>
            <c:numRef>
              <c:f>'Lead Time By supplier'!$B$2:$B$7</c:f>
              <c:numCache>
                <c:formatCode>General</c:formatCode>
                <c:ptCount val="5"/>
                <c:pt idx="0">
                  <c:v>14.777777777777779</c:v>
                </c:pt>
                <c:pt idx="1">
                  <c:v>18.545454545454547</c:v>
                </c:pt>
                <c:pt idx="2">
                  <c:v>20.133333333333333</c:v>
                </c:pt>
                <c:pt idx="3">
                  <c:v>15.222222222222221</c:v>
                </c:pt>
                <c:pt idx="4">
                  <c:v>18.055555555555557</c:v>
                </c:pt>
              </c:numCache>
            </c:numRef>
          </c:val>
          <c:extLst>
            <c:ext xmlns:c16="http://schemas.microsoft.com/office/drawing/2014/chart" uri="{C3380CC4-5D6E-409C-BE32-E72D297353CC}">
              <c16:uniqueId val="{00000000-0460-48D6-B8BA-DDF353820C2B}"/>
            </c:ext>
          </c:extLst>
        </c:ser>
        <c:dLbls>
          <c:showLegendKey val="0"/>
          <c:showVal val="0"/>
          <c:showCatName val="0"/>
          <c:showSerName val="0"/>
          <c:showPercent val="0"/>
          <c:showBubbleSize val="0"/>
        </c:dLbls>
        <c:gapWidth val="150"/>
        <c:shape val="box"/>
        <c:axId val="2034166175"/>
        <c:axId val="2034161855"/>
        <c:axId val="0"/>
      </c:bar3DChart>
      <c:catAx>
        <c:axId val="2034166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1855"/>
        <c:crosses val="autoZero"/>
        <c:auto val="1"/>
        <c:lblAlgn val="ctr"/>
        <c:lblOffset val="100"/>
        <c:noMultiLvlLbl val="0"/>
      </c:catAx>
      <c:valAx>
        <c:axId val="203416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 Production Volume by Supplier!Production Volume by Supplier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Production Volume by Supplier</a:t>
            </a:r>
            <a:endParaRPr lang="en-US" b="1">
              <a:solidFill>
                <a:sysClr val="windowText" lastClr="000000"/>
              </a:solidFill>
            </a:endParaRPr>
          </a:p>
        </c:rich>
      </c:tx>
      <c:layout>
        <c:manualLayout>
          <c:xMode val="edge"/>
          <c:yMode val="edge"/>
          <c:x val="0.3098795180722892"/>
          <c:y val="0.114385016331483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 Production Volume by Supplier'!$B$1</c:f>
              <c:strCache>
                <c:ptCount val="1"/>
                <c:pt idx="0">
                  <c:v>Total</c:v>
                </c:pt>
              </c:strCache>
            </c:strRef>
          </c:tx>
          <c:spPr>
            <a:solidFill>
              <a:schemeClr val="accent1"/>
            </a:solidFill>
            <a:ln>
              <a:noFill/>
            </a:ln>
            <a:effectLst/>
            <a:sp3d/>
          </c:spPr>
          <c:invertIfNegative val="0"/>
          <c:cat>
            <c:strRef>
              <c:f>' Production Volume by Supplier'!$A$2:$A$7</c:f>
              <c:strCache>
                <c:ptCount val="5"/>
                <c:pt idx="0">
                  <c:v>Supplier 1</c:v>
                </c:pt>
                <c:pt idx="1">
                  <c:v>Supplier 2</c:v>
                </c:pt>
                <c:pt idx="2">
                  <c:v>Supplier 3</c:v>
                </c:pt>
                <c:pt idx="3">
                  <c:v>Supplier 4</c:v>
                </c:pt>
                <c:pt idx="4">
                  <c:v>Supplier 5</c:v>
                </c:pt>
              </c:strCache>
            </c:strRef>
          </c:cat>
          <c:val>
            <c:numRef>
              <c:f>' Production Volume by Supplier'!$B$2:$B$7</c:f>
              <c:numCache>
                <c:formatCode>General</c:formatCode>
                <c:ptCount val="5"/>
                <c:pt idx="0">
                  <c:v>13545</c:v>
                </c:pt>
                <c:pt idx="1">
                  <c:v>14105</c:v>
                </c:pt>
                <c:pt idx="2">
                  <c:v>7997</c:v>
                </c:pt>
                <c:pt idx="3">
                  <c:v>11756</c:v>
                </c:pt>
                <c:pt idx="4">
                  <c:v>9381</c:v>
                </c:pt>
              </c:numCache>
            </c:numRef>
          </c:val>
          <c:extLst>
            <c:ext xmlns:c16="http://schemas.microsoft.com/office/drawing/2014/chart" uri="{C3380CC4-5D6E-409C-BE32-E72D297353CC}">
              <c16:uniqueId val="{00000000-2267-4224-ADCB-DB1AB24B0313}"/>
            </c:ext>
          </c:extLst>
        </c:ser>
        <c:dLbls>
          <c:showLegendKey val="0"/>
          <c:showVal val="0"/>
          <c:showCatName val="0"/>
          <c:showSerName val="0"/>
          <c:showPercent val="0"/>
          <c:showBubbleSize val="0"/>
        </c:dLbls>
        <c:gapWidth val="150"/>
        <c:shape val="box"/>
        <c:axId val="2034155615"/>
        <c:axId val="2034156095"/>
        <c:axId val="0"/>
      </c:bar3DChart>
      <c:catAx>
        <c:axId val="203415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6095"/>
        <c:crosses val="autoZero"/>
        <c:auto val="1"/>
        <c:lblAlgn val="ctr"/>
        <c:lblOffset val="100"/>
        <c:noMultiLvlLbl val="0"/>
      </c:catAx>
      <c:valAx>
        <c:axId val="203415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Analysis.xlsx]Revenue!PT1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Total Revenue by Product Type</a:t>
            </a:r>
            <a:endParaRPr lang="en-US" b="1">
              <a:solidFill>
                <a:sysClr val="windowText" lastClr="000000"/>
              </a:solidFill>
            </a:endParaRPr>
          </a:p>
        </c:rich>
      </c:tx>
      <c:layout>
        <c:manualLayout>
          <c:xMode val="edge"/>
          <c:yMode val="edge"/>
          <c:x val="0.35413449335637076"/>
          <c:y val="9.3728667569702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6680770775542"/>
          <c:y val="0.20079925897718529"/>
          <c:w val="0.5602938511689598"/>
          <c:h val="0.67133936379580716"/>
        </c:manualLayout>
      </c:layout>
      <c:barChart>
        <c:barDir val="bar"/>
        <c:grouping val="stacked"/>
        <c:varyColors val="0"/>
        <c:ser>
          <c:idx val="0"/>
          <c:order val="0"/>
          <c:tx>
            <c:strRef>
              <c:f>Revenue!$B$1</c:f>
              <c:strCache>
                <c:ptCount val="1"/>
                <c:pt idx="0">
                  <c:v>Total</c:v>
                </c:pt>
              </c:strCache>
            </c:strRef>
          </c:tx>
          <c:spPr>
            <a:solidFill>
              <a:schemeClr val="accent1"/>
            </a:solidFill>
            <a:ln>
              <a:noFill/>
            </a:ln>
            <a:effectLst/>
          </c:spPr>
          <c:invertIfNegative val="0"/>
          <c:cat>
            <c:strRef>
              <c:f>Revenue!$A$2:$A$5</c:f>
              <c:strCache>
                <c:ptCount val="3"/>
                <c:pt idx="0">
                  <c:v>cosmetics</c:v>
                </c:pt>
                <c:pt idx="1">
                  <c:v>haircare</c:v>
                </c:pt>
                <c:pt idx="2">
                  <c:v>skincare</c:v>
                </c:pt>
              </c:strCache>
            </c:strRef>
          </c:cat>
          <c:val>
            <c:numRef>
              <c:f>Revenue!$B$2:$B$5</c:f>
              <c:numCache>
                <c:formatCode>General</c:formatCode>
                <c:ptCount val="3"/>
                <c:pt idx="0">
                  <c:v>161521.26599948312</c:v>
                </c:pt>
                <c:pt idx="1">
                  <c:v>174455.39060546231</c:v>
                </c:pt>
                <c:pt idx="2">
                  <c:v>241628.16213306325</c:v>
                </c:pt>
              </c:numCache>
            </c:numRef>
          </c:val>
          <c:extLst>
            <c:ext xmlns:c16="http://schemas.microsoft.com/office/drawing/2014/chart" uri="{C3380CC4-5D6E-409C-BE32-E72D297353CC}">
              <c16:uniqueId val="{00000000-0A2D-4947-BA99-119C744D7351}"/>
            </c:ext>
          </c:extLst>
        </c:ser>
        <c:dLbls>
          <c:showLegendKey val="0"/>
          <c:showVal val="0"/>
          <c:showCatName val="0"/>
          <c:showSerName val="0"/>
          <c:showPercent val="0"/>
          <c:showBubbleSize val="0"/>
        </c:dLbls>
        <c:gapWidth val="150"/>
        <c:overlap val="100"/>
        <c:axId val="1969121615"/>
        <c:axId val="1969120175"/>
      </c:barChart>
      <c:catAx>
        <c:axId val="196912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20175"/>
        <c:crosses val="autoZero"/>
        <c:auto val="1"/>
        <c:lblAlgn val="ctr"/>
        <c:lblOffset val="100"/>
        <c:noMultiLvlLbl val="0"/>
      </c:catAx>
      <c:valAx>
        <c:axId val="1969120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2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Analysis.xlsx]Defects!Average Defect Rate by Supplier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Average Defect Rate by Supplier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Defects!$B$1</c:f>
              <c:strCache>
                <c:ptCount val="1"/>
                <c:pt idx="0">
                  <c:v>Total</c:v>
                </c:pt>
              </c:strCache>
            </c:strRef>
          </c:tx>
          <c:spPr>
            <a:solidFill>
              <a:schemeClr val="accent1"/>
            </a:solidFill>
            <a:ln>
              <a:noFill/>
            </a:ln>
            <a:effectLst/>
          </c:spPr>
          <c:invertIfNegative val="0"/>
          <c:cat>
            <c:strRef>
              <c:f>Defects!$A$2:$A$7</c:f>
              <c:strCache>
                <c:ptCount val="5"/>
                <c:pt idx="0">
                  <c:v>Supplier 1</c:v>
                </c:pt>
                <c:pt idx="1">
                  <c:v>Supplier 2</c:v>
                </c:pt>
                <c:pt idx="2">
                  <c:v>Supplier 3</c:v>
                </c:pt>
                <c:pt idx="3">
                  <c:v>Supplier 4</c:v>
                </c:pt>
                <c:pt idx="4">
                  <c:v>Supplier 5</c:v>
                </c:pt>
              </c:strCache>
            </c:strRef>
          </c:cat>
          <c:val>
            <c:numRef>
              <c:f>Defects!$B$2:$B$7</c:f>
              <c:numCache>
                <c:formatCode>General</c:formatCode>
                <c:ptCount val="5"/>
                <c:pt idx="0">
                  <c:v>1.8036297116882525</c:v>
                </c:pt>
                <c:pt idx="1">
                  <c:v>2.3627501450718813</c:v>
                </c:pt>
                <c:pt idx="2">
                  <c:v>2.4657860307644701</c:v>
                </c:pt>
                <c:pt idx="3">
                  <c:v>2.3373974005913398</c:v>
                </c:pt>
                <c:pt idx="4">
                  <c:v>2.6654083441492014</c:v>
                </c:pt>
              </c:numCache>
            </c:numRef>
          </c:val>
          <c:extLst>
            <c:ext xmlns:c16="http://schemas.microsoft.com/office/drawing/2014/chart" uri="{C3380CC4-5D6E-409C-BE32-E72D297353CC}">
              <c16:uniqueId val="{00000000-90FD-456C-A35F-275AECE3F596}"/>
            </c:ext>
          </c:extLst>
        </c:ser>
        <c:dLbls>
          <c:showLegendKey val="0"/>
          <c:showVal val="0"/>
          <c:showCatName val="0"/>
          <c:showSerName val="0"/>
          <c:showPercent val="0"/>
          <c:showBubbleSize val="0"/>
        </c:dLbls>
        <c:gapWidth val="182"/>
        <c:axId val="1152808559"/>
        <c:axId val="1152809999"/>
      </c:barChart>
      <c:catAx>
        <c:axId val="115280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809999"/>
        <c:crosses val="autoZero"/>
        <c:auto val="1"/>
        <c:lblAlgn val="ctr"/>
        <c:lblOffset val="100"/>
        <c:noMultiLvlLbl val="0"/>
      </c:catAx>
      <c:valAx>
        <c:axId val="1152809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80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Analysis.xlsx]Shipping Cost!Average Shipping Cost by Transport Mode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Average Shipping Cost by Transport Mode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'Shipping Cost'!$B$1</c:f>
              <c:strCache>
                <c:ptCount val="1"/>
                <c:pt idx="0">
                  <c:v>Total</c:v>
                </c:pt>
              </c:strCache>
            </c:strRef>
          </c:tx>
          <c:spPr>
            <a:solidFill>
              <a:schemeClr val="accent1"/>
            </a:solidFill>
            <a:ln>
              <a:noFill/>
            </a:ln>
            <a:effectLst/>
          </c:spPr>
          <c:invertIfNegative val="0"/>
          <c:cat>
            <c:strRef>
              <c:f>'Shipping Cost'!$A$2:$A$6</c:f>
              <c:strCache>
                <c:ptCount val="4"/>
                <c:pt idx="0">
                  <c:v>Air</c:v>
                </c:pt>
                <c:pt idx="1">
                  <c:v>Rail</c:v>
                </c:pt>
                <c:pt idx="2">
                  <c:v>Road</c:v>
                </c:pt>
                <c:pt idx="3">
                  <c:v>Sea</c:v>
                </c:pt>
              </c:strCache>
            </c:strRef>
          </c:cat>
          <c:val>
            <c:numRef>
              <c:f>'Shipping Cost'!$B$2:$B$6</c:f>
              <c:numCache>
                <c:formatCode>General</c:formatCode>
                <c:ptCount val="4"/>
                <c:pt idx="0">
                  <c:v>6.0178393777286185</c:v>
                </c:pt>
                <c:pt idx="1">
                  <c:v>5.4690979361028607</c:v>
                </c:pt>
                <c:pt idx="2">
                  <c:v>5.5421153900457982</c:v>
                </c:pt>
                <c:pt idx="3">
                  <c:v>4.9702938152239042</c:v>
                </c:pt>
              </c:numCache>
            </c:numRef>
          </c:val>
          <c:extLst>
            <c:ext xmlns:c16="http://schemas.microsoft.com/office/drawing/2014/chart" uri="{C3380CC4-5D6E-409C-BE32-E72D297353CC}">
              <c16:uniqueId val="{00000000-D643-4B4A-AC2B-DD8C2F2F286F}"/>
            </c:ext>
          </c:extLst>
        </c:ser>
        <c:dLbls>
          <c:showLegendKey val="0"/>
          <c:showVal val="0"/>
          <c:showCatName val="0"/>
          <c:showSerName val="0"/>
          <c:showPercent val="0"/>
          <c:showBubbleSize val="0"/>
        </c:dLbls>
        <c:gapWidth val="150"/>
        <c:overlap val="100"/>
        <c:axId val="1023076079"/>
        <c:axId val="1023078479"/>
      </c:barChart>
      <c:catAx>
        <c:axId val="102307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78479"/>
        <c:crosses val="autoZero"/>
        <c:auto val="1"/>
        <c:lblAlgn val="ctr"/>
        <c:lblOffset val="100"/>
        <c:noMultiLvlLbl val="0"/>
      </c:catAx>
      <c:valAx>
        <c:axId val="1023078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7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Analysis.xlsx]Stock vs Sales!Stock Levels vs Products Sold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Stock Levels vs Products Sold</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'Stock vs Sales'!$B$1</c:f>
              <c:strCache>
                <c:ptCount val="1"/>
                <c:pt idx="0">
                  <c:v>Average of Stock levels</c:v>
                </c:pt>
              </c:strCache>
            </c:strRef>
          </c:tx>
          <c:spPr>
            <a:solidFill>
              <a:schemeClr val="accent1"/>
            </a:solidFill>
            <a:ln>
              <a:noFill/>
            </a:ln>
            <a:effectLst/>
          </c:spPr>
          <c:invertIfNegative val="0"/>
          <c:cat>
            <c:strRef>
              <c:f>'Stock vs Sales'!$A$2:$A$5</c:f>
              <c:strCache>
                <c:ptCount val="3"/>
                <c:pt idx="0">
                  <c:v>cosmetics</c:v>
                </c:pt>
                <c:pt idx="1">
                  <c:v>haircare</c:v>
                </c:pt>
                <c:pt idx="2">
                  <c:v>skincare</c:v>
                </c:pt>
              </c:strCache>
            </c:strRef>
          </c:cat>
          <c:val>
            <c:numRef>
              <c:f>'Stock vs Sales'!$B$2:$B$5</c:f>
              <c:numCache>
                <c:formatCode>General</c:formatCode>
                <c:ptCount val="3"/>
                <c:pt idx="0">
                  <c:v>58.653846153846153</c:v>
                </c:pt>
                <c:pt idx="1">
                  <c:v>48.352941176470587</c:v>
                </c:pt>
                <c:pt idx="2">
                  <c:v>40.200000000000003</c:v>
                </c:pt>
              </c:numCache>
            </c:numRef>
          </c:val>
          <c:extLst>
            <c:ext xmlns:c16="http://schemas.microsoft.com/office/drawing/2014/chart" uri="{C3380CC4-5D6E-409C-BE32-E72D297353CC}">
              <c16:uniqueId val="{00000000-0F83-404D-89DF-740685AFB135}"/>
            </c:ext>
          </c:extLst>
        </c:ser>
        <c:ser>
          <c:idx val="1"/>
          <c:order val="1"/>
          <c:tx>
            <c:strRef>
              <c:f>'Stock vs Sales'!$C$1</c:f>
              <c:strCache>
                <c:ptCount val="1"/>
                <c:pt idx="0">
                  <c:v>Sum of Number of products sold</c:v>
                </c:pt>
              </c:strCache>
            </c:strRef>
          </c:tx>
          <c:spPr>
            <a:solidFill>
              <a:schemeClr val="accent2"/>
            </a:solidFill>
            <a:ln>
              <a:noFill/>
            </a:ln>
            <a:effectLst/>
          </c:spPr>
          <c:invertIfNegative val="0"/>
          <c:cat>
            <c:strRef>
              <c:f>'Stock vs Sales'!$A$2:$A$5</c:f>
              <c:strCache>
                <c:ptCount val="3"/>
                <c:pt idx="0">
                  <c:v>cosmetics</c:v>
                </c:pt>
                <c:pt idx="1">
                  <c:v>haircare</c:v>
                </c:pt>
                <c:pt idx="2">
                  <c:v>skincare</c:v>
                </c:pt>
              </c:strCache>
            </c:strRef>
          </c:cat>
          <c:val>
            <c:numRef>
              <c:f>'Stock vs Sales'!$C$2:$C$5</c:f>
              <c:numCache>
                <c:formatCode>General</c:formatCode>
                <c:ptCount val="3"/>
                <c:pt idx="0">
                  <c:v>11757</c:v>
                </c:pt>
                <c:pt idx="1">
                  <c:v>13611</c:v>
                </c:pt>
                <c:pt idx="2">
                  <c:v>20731</c:v>
                </c:pt>
              </c:numCache>
            </c:numRef>
          </c:val>
          <c:extLst>
            <c:ext xmlns:c16="http://schemas.microsoft.com/office/drawing/2014/chart" uri="{C3380CC4-5D6E-409C-BE32-E72D297353CC}">
              <c16:uniqueId val="{00000001-0F83-404D-89DF-740685AFB135}"/>
            </c:ext>
          </c:extLst>
        </c:ser>
        <c:dLbls>
          <c:showLegendKey val="0"/>
          <c:showVal val="0"/>
          <c:showCatName val="0"/>
          <c:showSerName val="0"/>
          <c:showPercent val="0"/>
          <c:showBubbleSize val="0"/>
        </c:dLbls>
        <c:gapWidth val="182"/>
        <c:axId val="2034159455"/>
        <c:axId val="2034168575"/>
      </c:barChart>
      <c:catAx>
        <c:axId val="203415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8575"/>
        <c:crosses val="autoZero"/>
        <c:auto val="1"/>
        <c:lblAlgn val="ctr"/>
        <c:lblOffset val="100"/>
        <c:noMultiLvlLbl val="0"/>
      </c:catAx>
      <c:valAx>
        <c:axId val="2034168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 Mfg Cost vs Revenue!Manufacturing Cost vs Revenue by Product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Manufacturing Cost vs Revenue by Product</a:t>
            </a:r>
            <a:endParaRPr lang="en-GB"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Mfg Cost vs Revenue'!$B$1</c:f>
              <c:strCache>
                <c:ptCount val="1"/>
                <c:pt idx="0">
                  <c:v>Average of Manufacturing costs</c:v>
                </c:pt>
              </c:strCache>
            </c:strRef>
          </c:tx>
          <c:spPr>
            <a:solidFill>
              <a:schemeClr val="accent1"/>
            </a:solidFill>
            <a:ln>
              <a:noFill/>
            </a:ln>
            <a:effectLst/>
          </c:spPr>
          <c:invertIfNegative val="0"/>
          <c:cat>
            <c:strRef>
              <c:f>' Mfg Cost vs Revenue'!$A$2:$A$5</c:f>
              <c:strCache>
                <c:ptCount val="3"/>
                <c:pt idx="0">
                  <c:v>cosmetics</c:v>
                </c:pt>
                <c:pt idx="1">
                  <c:v>haircare</c:v>
                </c:pt>
                <c:pt idx="2">
                  <c:v>skincare</c:v>
                </c:pt>
              </c:strCache>
            </c:strRef>
          </c:cat>
          <c:val>
            <c:numRef>
              <c:f>' Mfg Cost vs Revenue'!$B$2:$B$5</c:f>
              <c:numCache>
                <c:formatCode>General</c:formatCode>
                <c:ptCount val="3"/>
                <c:pt idx="0">
                  <c:v>43.052740496493421</c:v>
                </c:pt>
                <c:pt idx="1">
                  <c:v>48.457993420627254</c:v>
                </c:pt>
                <c:pt idx="2">
                  <c:v>48.993157373420914</c:v>
                </c:pt>
              </c:numCache>
            </c:numRef>
          </c:val>
          <c:extLst>
            <c:ext xmlns:c16="http://schemas.microsoft.com/office/drawing/2014/chart" uri="{C3380CC4-5D6E-409C-BE32-E72D297353CC}">
              <c16:uniqueId val="{00000000-6F1D-4F3C-8DD9-36834C3A9D65}"/>
            </c:ext>
          </c:extLst>
        </c:ser>
        <c:ser>
          <c:idx val="1"/>
          <c:order val="1"/>
          <c:tx>
            <c:strRef>
              <c:f>' Mfg Cost vs Revenue'!$C$1</c:f>
              <c:strCache>
                <c:ptCount val="1"/>
                <c:pt idx="0">
                  <c:v>Sum of Revenue generated</c:v>
                </c:pt>
              </c:strCache>
            </c:strRef>
          </c:tx>
          <c:spPr>
            <a:solidFill>
              <a:schemeClr val="accent2"/>
            </a:solidFill>
            <a:ln>
              <a:noFill/>
            </a:ln>
            <a:effectLst/>
          </c:spPr>
          <c:invertIfNegative val="0"/>
          <c:cat>
            <c:strRef>
              <c:f>' Mfg Cost vs Revenue'!$A$2:$A$5</c:f>
              <c:strCache>
                <c:ptCount val="3"/>
                <c:pt idx="0">
                  <c:v>cosmetics</c:v>
                </c:pt>
                <c:pt idx="1">
                  <c:v>haircare</c:v>
                </c:pt>
                <c:pt idx="2">
                  <c:v>skincare</c:v>
                </c:pt>
              </c:strCache>
            </c:strRef>
          </c:cat>
          <c:val>
            <c:numRef>
              <c:f>' Mfg Cost vs Revenue'!$C$2:$C$5</c:f>
              <c:numCache>
                <c:formatCode>General</c:formatCode>
                <c:ptCount val="3"/>
                <c:pt idx="0">
                  <c:v>161521.26599948312</c:v>
                </c:pt>
                <c:pt idx="1">
                  <c:v>174455.39060546231</c:v>
                </c:pt>
                <c:pt idx="2">
                  <c:v>241628.16213306325</c:v>
                </c:pt>
              </c:numCache>
            </c:numRef>
          </c:val>
          <c:extLst>
            <c:ext xmlns:c16="http://schemas.microsoft.com/office/drawing/2014/chart" uri="{C3380CC4-5D6E-409C-BE32-E72D297353CC}">
              <c16:uniqueId val="{00000001-6F1D-4F3C-8DD9-36834C3A9D65}"/>
            </c:ext>
          </c:extLst>
        </c:ser>
        <c:dLbls>
          <c:showLegendKey val="0"/>
          <c:showVal val="0"/>
          <c:showCatName val="0"/>
          <c:showSerName val="0"/>
          <c:showPercent val="0"/>
          <c:showBubbleSize val="0"/>
        </c:dLbls>
        <c:gapWidth val="182"/>
        <c:axId val="2034158495"/>
        <c:axId val="2034167135"/>
      </c:barChart>
      <c:catAx>
        <c:axId val="203415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7135"/>
        <c:crosses val="autoZero"/>
        <c:auto val="1"/>
        <c:lblAlgn val="ctr"/>
        <c:lblOffset val="100"/>
        <c:noMultiLvlLbl val="0"/>
      </c:catAx>
      <c:valAx>
        <c:axId val="2034167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Analysis.xlsx]Inspection Faliure by prod-typ !Inspection Results by Product 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Inspection Results by Product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'Inspection Faliure by prod-typ '!$B$1</c:f>
              <c:strCache>
                <c:ptCount val="1"/>
                <c:pt idx="0">
                  <c:v>Total</c:v>
                </c:pt>
              </c:strCache>
            </c:strRef>
          </c:tx>
          <c:spPr>
            <a:solidFill>
              <a:schemeClr val="accent1"/>
            </a:solidFill>
            <a:ln>
              <a:noFill/>
            </a:ln>
            <a:effectLst/>
          </c:spPr>
          <c:invertIfNegative val="0"/>
          <c:cat>
            <c:multiLvlStrRef>
              <c:f>'Inspection Faliure by prod-typ '!$A$2:$A$14</c:f>
              <c:multiLvlStrCache>
                <c:ptCount val="9"/>
                <c:lvl>
                  <c:pt idx="0">
                    <c:v>Fail</c:v>
                  </c:pt>
                  <c:pt idx="1">
                    <c:v>Pass</c:v>
                  </c:pt>
                  <c:pt idx="2">
                    <c:v>Pending</c:v>
                  </c:pt>
                  <c:pt idx="3">
                    <c:v>Fail</c:v>
                  </c:pt>
                  <c:pt idx="4">
                    <c:v>Pass</c:v>
                  </c:pt>
                  <c:pt idx="5">
                    <c:v>Pending</c:v>
                  </c:pt>
                  <c:pt idx="6">
                    <c:v>Fail</c:v>
                  </c:pt>
                  <c:pt idx="7">
                    <c:v>Pass</c:v>
                  </c:pt>
                  <c:pt idx="8">
                    <c:v>Pending</c:v>
                  </c:pt>
                </c:lvl>
                <c:lvl>
                  <c:pt idx="0">
                    <c:v>cosmetics</c:v>
                  </c:pt>
                  <c:pt idx="3">
                    <c:v>haircare</c:v>
                  </c:pt>
                  <c:pt idx="6">
                    <c:v>skincare</c:v>
                  </c:pt>
                </c:lvl>
              </c:multiLvlStrCache>
            </c:multiLvlStrRef>
          </c:cat>
          <c:val>
            <c:numRef>
              <c:f>'Inspection Faliure by prod-typ '!$B$2:$B$14</c:f>
              <c:numCache>
                <c:formatCode>General</c:formatCode>
                <c:ptCount val="9"/>
                <c:pt idx="0">
                  <c:v>10</c:v>
                </c:pt>
                <c:pt idx="1">
                  <c:v>6</c:v>
                </c:pt>
                <c:pt idx="2">
                  <c:v>10</c:v>
                </c:pt>
                <c:pt idx="3">
                  <c:v>13</c:v>
                </c:pt>
                <c:pt idx="4">
                  <c:v>6</c:v>
                </c:pt>
                <c:pt idx="5">
                  <c:v>15</c:v>
                </c:pt>
                <c:pt idx="6">
                  <c:v>13</c:v>
                </c:pt>
                <c:pt idx="7">
                  <c:v>11</c:v>
                </c:pt>
                <c:pt idx="8">
                  <c:v>16</c:v>
                </c:pt>
              </c:numCache>
            </c:numRef>
          </c:val>
          <c:extLst>
            <c:ext xmlns:c16="http://schemas.microsoft.com/office/drawing/2014/chart" uri="{C3380CC4-5D6E-409C-BE32-E72D297353CC}">
              <c16:uniqueId val="{00000000-3290-4CE3-AA62-756495032EF3}"/>
            </c:ext>
          </c:extLst>
        </c:ser>
        <c:dLbls>
          <c:showLegendKey val="0"/>
          <c:showVal val="0"/>
          <c:showCatName val="0"/>
          <c:showSerName val="0"/>
          <c:showPercent val="0"/>
          <c:showBubbleSize val="0"/>
        </c:dLbls>
        <c:gapWidth val="182"/>
        <c:axId val="2034163295"/>
        <c:axId val="2034158015"/>
      </c:barChart>
      <c:catAx>
        <c:axId val="203416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8015"/>
        <c:crosses val="autoZero"/>
        <c:auto val="1"/>
        <c:lblAlgn val="ctr"/>
        <c:lblOffset val="100"/>
        <c:noMultiLvlLbl val="0"/>
      </c:catAx>
      <c:valAx>
        <c:axId val="203415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Analysis.xlsx]Avg stck lvl by prod type!Average Stock Level by Product Type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Average Stock Level by Product Type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stck lvl by prod type'!$B$1</c:f>
              <c:strCache>
                <c:ptCount val="1"/>
                <c:pt idx="0">
                  <c:v>Total</c:v>
                </c:pt>
              </c:strCache>
            </c:strRef>
          </c:tx>
          <c:spPr>
            <a:solidFill>
              <a:schemeClr val="accent1"/>
            </a:solidFill>
            <a:ln>
              <a:noFill/>
            </a:ln>
            <a:effectLst/>
          </c:spPr>
          <c:invertIfNegative val="0"/>
          <c:cat>
            <c:strRef>
              <c:f>'Avg stck lvl by prod type'!$A$2:$A$5</c:f>
              <c:strCache>
                <c:ptCount val="3"/>
                <c:pt idx="0">
                  <c:v>cosmetics</c:v>
                </c:pt>
                <c:pt idx="1">
                  <c:v>haircare</c:v>
                </c:pt>
                <c:pt idx="2">
                  <c:v>skincare</c:v>
                </c:pt>
              </c:strCache>
            </c:strRef>
          </c:cat>
          <c:val>
            <c:numRef>
              <c:f>'Avg stck lvl by prod type'!$B$2:$B$5</c:f>
              <c:numCache>
                <c:formatCode>General</c:formatCode>
                <c:ptCount val="3"/>
                <c:pt idx="0">
                  <c:v>58.653846153846153</c:v>
                </c:pt>
                <c:pt idx="1">
                  <c:v>48.352941176470587</c:v>
                </c:pt>
                <c:pt idx="2">
                  <c:v>40.200000000000003</c:v>
                </c:pt>
              </c:numCache>
            </c:numRef>
          </c:val>
          <c:extLst>
            <c:ext xmlns:c16="http://schemas.microsoft.com/office/drawing/2014/chart" uri="{C3380CC4-5D6E-409C-BE32-E72D297353CC}">
              <c16:uniqueId val="{00000000-7F9F-4C30-8D2E-75FF2C28E738}"/>
            </c:ext>
          </c:extLst>
        </c:ser>
        <c:dLbls>
          <c:showLegendKey val="0"/>
          <c:showVal val="0"/>
          <c:showCatName val="0"/>
          <c:showSerName val="0"/>
          <c:showPercent val="0"/>
          <c:showBubbleSize val="0"/>
        </c:dLbls>
        <c:gapWidth val="182"/>
        <c:axId val="2034164255"/>
        <c:axId val="2034162815"/>
      </c:barChart>
      <c:catAx>
        <c:axId val="203416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2815"/>
        <c:crosses val="autoZero"/>
        <c:auto val="1"/>
        <c:lblAlgn val="ctr"/>
        <c:lblOffset val="100"/>
        <c:noMultiLvlLbl val="0"/>
      </c:catAx>
      <c:valAx>
        <c:axId val="2034162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Analysis.xlsx]Shipping Cost by carrier!Orders by Shipping Carrier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Orders by Shipping Carrier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'Shipping Cost by carrier'!$B$1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2E-4E90-B9EB-5CCB49514B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2E-4E90-B9EB-5CCB49514B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2E-4E90-B9EB-5CCB49514BFB}"/>
              </c:ext>
            </c:extLst>
          </c:dPt>
          <c:cat>
            <c:strRef>
              <c:f>'Shipping Cost by carrier'!$A$2:$A$5</c:f>
              <c:strCache>
                <c:ptCount val="3"/>
                <c:pt idx="0">
                  <c:v>Carrier A</c:v>
                </c:pt>
                <c:pt idx="1">
                  <c:v>Carrier B</c:v>
                </c:pt>
                <c:pt idx="2">
                  <c:v>Carrier C</c:v>
                </c:pt>
              </c:strCache>
            </c:strRef>
          </c:cat>
          <c:val>
            <c:numRef>
              <c:f>'Shipping Cost by carrier'!$B$2:$B$5</c:f>
              <c:numCache>
                <c:formatCode>General</c:formatCode>
                <c:ptCount val="3"/>
                <c:pt idx="0">
                  <c:v>5.554922521651271</c:v>
                </c:pt>
                <c:pt idx="1">
                  <c:v>5.5092469689287302</c:v>
                </c:pt>
                <c:pt idx="2">
                  <c:v>5.5992916183375057</c:v>
                </c:pt>
              </c:numCache>
            </c:numRef>
          </c:val>
          <c:extLst>
            <c:ext xmlns:c16="http://schemas.microsoft.com/office/drawing/2014/chart" uri="{C3380CC4-5D6E-409C-BE32-E72D297353CC}">
              <c16:uniqueId val="{00000006-442E-4E90-B9EB-5CCB49514B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Analysis.xlsx]Lead Time By supplier!Average Lead Time by Supplier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Average Lead Time by Supplier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'Lead Time By supplier'!$B$1</c:f>
              <c:strCache>
                <c:ptCount val="1"/>
                <c:pt idx="0">
                  <c:v>Total</c:v>
                </c:pt>
              </c:strCache>
            </c:strRef>
          </c:tx>
          <c:spPr>
            <a:solidFill>
              <a:schemeClr val="accent1"/>
            </a:solidFill>
            <a:ln>
              <a:noFill/>
            </a:ln>
            <a:effectLst/>
            <a:sp3d/>
          </c:spPr>
          <c:invertIfNegative val="0"/>
          <c:cat>
            <c:strRef>
              <c:f>'Lead Time By supplier'!$A$2:$A$7</c:f>
              <c:strCache>
                <c:ptCount val="5"/>
                <c:pt idx="0">
                  <c:v>Supplier 1</c:v>
                </c:pt>
                <c:pt idx="1">
                  <c:v>Supplier 2</c:v>
                </c:pt>
                <c:pt idx="2">
                  <c:v>Supplier 3</c:v>
                </c:pt>
                <c:pt idx="3">
                  <c:v>Supplier 4</c:v>
                </c:pt>
                <c:pt idx="4">
                  <c:v>Supplier 5</c:v>
                </c:pt>
              </c:strCache>
            </c:strRef>
          </c:cat>
          <c:val>
            <c:numRef>
              <c:f>'Lead Time By supplier'!$B$2:$B$7</c:f>
              <c:numCache>
                <c:formatCode>General</c:formatCode>
                <c:ptCount val="5"/>
                <c:pt idx="0">
                  <c:v>14.777777777777779</c:v>
                </c:pt>
                <c:pt idx="1">
                  <c:v>18.545454545454547</c:v>
                </c:pt>
                <c:pt idx="2">
                  <c:v>20.133333333333333</c:v>
                </c:pt>
                <c:pt idx="3">
                  <c:v>15.222222222222221</c:v>
                </c:pt>
                <c:pt idx="4">
                  <c:v>18.055555555555557</c:v>
                </c:pt>
              </c:numCache>
            </c:numRef>
          </c:val>
          <c:extLst>
            <c:ext xmlns:c16="http://schemas.microsoft.com/office/drawing/2014/chart" uri="{C3380CC4-5D6E-409C-BE32-E72D297353CC}">
              <c16:uniqueId val="{00000000-18E0-4965-9D44-11CD2B8B8FD0}"/>
            </c:ext>
          </c:extLst>
        </c:ser>
        <c:dLbls>
          <c:showLegendKey val="0"/>
          <c:showVal val="0"/>
          <c:showCatName val="0"/>
          <c:showSerName val="0"/>
          <c:showPercent val="0"/>
          <c:showBubbleSize val="0"/>
        </c:dLbls>
        <c:gapWidth val="150"/>
        <c:shape val="box"/>
        <c:axId val="2034166175"/>
        <c:axId val="2034161855"/>
        <c:axId val="0"/>
      </c:bar3DChart>
      <c:catAx>
        <c:axId val="2034166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1855"/>
        <c:crosses val="autoZero"/>
        <c:auto val="1"/>
        <c:lblAlgn val="ctr"/>
        <c:lblOffset val="100"/>
        <c:noMultiLvlLbl val="0"/>
      </c:catAx>
      <c:valAx>
        <c:axId val="2034161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6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Performance Analysis.xlsx] Production Volume by Supplier!Production Volume by Supplier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ysClr val="windowText" lastClr="000000"/>
                </a:solidFill>
              </a:rPr>
              <a:t>Production Volume by Supplier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 Production Volume by Supplier'!$B$1</c:f>
              <c:strCache>
                <c:ptCount val="1"/>
                <c:pt idx="0">
                  <c:v>Total</c:v>
                </c:pt>
              </c:strCache>
            </c:strRef>
          </c:tx>
          <c:spPr>
            <a:solidFill>
              <a:schemeClr val="accent1"/>
            </a:solidFill>
            <a:ln>
              <a:noFill/>
            </a:ln>
            <a:effectLst/>
            <a:sp3d/>
          </c:spPr>
          <c:invertIfNegative val="0"/>
          <c:cat>
            <c:strRef>
              <c:f>' Production Volume by Supplier'!$A$2:$A$7</c:f>
              <c:strCache>
                <c:ptCount val="5"/>
                <c:pt idx="0">
                  <c:v>Supplier 1</c:v>
                </c:pt>
                <c:pt idx="1">
                  <c:v>Supplier 2</c:v>
                </c:pt>
                <c:pt idx="2">
                  <c:v>Supplier 3</c:v>
                </c:pt>
                <c:pt idx="3">
                  <c:v>Supplier 4</c:v>
                </c:pt>
                <c:pt idx="4">
                  <c:v>Supplier 5</c:v>
                </c:pt>
              </c:strCache>
            </c:strRef>
          </c:cat>
          <c:val>
            <c:numRef>
              <c:f>' Production Volume by Supplier'!$B$2:$B$7</c:f>
              <c:numCache>
                <c:formatCode>General</c:formatCode>
                <c:ptCount val="5"/>
                <c:pt idx="0">
                  <c:v>13545</c:v>
                </c:pt>
                <c:pt idx="1">
                  <c:v>14105</c:v>
                </c:pt>
                <c:pt idx="2">
                  <c:v>7997</c:v>
                </c:pt>
                <c:pt idx="3">
                  <c:v>11756</c:v>
                </c:pt>
                <c:pt idx="4">
                  <c:v>9381</c:v>
                </c:pt>
              </c:numCache>
            </c:numRef>
          </c:val>
          <c:extLst>
            <c:ext xmlns:c16="http://schemas.microsoft.com/office/drawing/2014/chart" uri="{C3380CC4-5D6E-409C-BE32-E72D297353CC}">
              <c16:uniqueId val="{00000000-3C7E-416B-B3F6-A20C82923BD4}"/>
            </c:ext>
          </c:extLst>
        </c:ser>
        <c:dLbls>
          <c:showLegendKey val="0"/>
          <c:showVal val="0"/>
          <c:showCatName val="0"/>
          <c:showSerName val="0"/>
          <c:showPercent val="0"/>
          <c:showBubbleSize val="0"/>
        </c:dLbls>
        <c:gapWidth val="150"/>
        <c:shape val="box"/>
        <c:axId val="2034155615"/>
        <c:axId val="2034156095"/>
        <c:axId val="0"/>
      </c:bar3DChart>
      <c:catAx>
        <c:axId val="203415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6095"/>
        <c:crosses val="autoZero"/>
        <c:auto val="1"/>
        <c:lblAlgn val="ctr"/>
        <c:lblOffset val="100"/>
        <c:noMultiLvlLbl val="0"/>
      </c:catAx>
      <c:valAx>
        <c:axId val="203415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5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6</xdr:col>
      <xdr:colOff>228599</xdr:colOff>
      <xdr:row>5</xdr:row>
      <xdr:rowOff>23811</xdr:rowOff>
    </xdr:from>
    <xdr:to>
      <xdr:col>15</xdr:col>
      <xdr:colOff>276224</xdr:colOff>
      <xdr:row>22</xdr:row>
      <xdr:rowOff>142875</xdr:rowOff>
    </xdr:to>
    <xdr:graphicFrame macro="">
      <xdr:nvGraphicFramePr>
        <xdr:cNvPr id="3" name="Chart 2">
          <a:extLst>
            <a:ext uri="{FF2B5EF4-FFF2-40B4-BE49-F238E27FC236}">
              <a16:creationId xmlns:a16="http://schemas.microsoft.com/office/drawing/2014/main" id="{F10C8ACD-FB6D-0F4A-31B8-FA34EF66D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133350</xdr:colOff>
      <xdr:row>5</xdr:row>
      <xdr:rowOff>119061</xdr:rowOff>
    </xdr:from>
    <xdr:to>
      <xdr:col>15</xdr:col>
      <xdr:colOff>419100</xdr:colOff>
      <xdr:row>22</xdr:row>
      <xdr:rowOff>85724</xdr:rowOff>
    </xdr:to>
    <xdr:graphicFrame macro="">
      <xdr:nvGraphicFramePr>
        <xdr:cNvPr id="2" name="Chart 1">
          <a:extLst>
            <a:ext uri="{FF2B5EF4-FFF2-40B4-BE49-F238E27FC236}">
              <a16:creationId xmlns:a16="http://schemas.microsoft.com/office/drawing/2014/main" id="{2A2BCE32-655E-EB74-86F3-58CE771E0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104775</xdr:colOff>
      <xdr:row>6</xdr:row>
      <xdr:rowOff>80961</xdr:rowOff>
    </xdr:from>
    <xdr:to>
      <xdr:col>16</xdr:col>
      <xdr:colOff>28575</xdr:colOff>
      <xdr:row>23</xdr:row>
      <xdr:rowOff>66674</xdr:rowOff>
    </xdr:to>
    <xdr:graphicFrame macro="">
      <xdr:nvGraphicFramePr>
        <xdr:cNvPr id="2" name="Chart 1">
          <a:extLst>
            <a:ext uri="{FF2B5EF4-FFF2-40B4-BE49-F238E27FC236}">
              <a16:creationId xmlns:a16="http://schemas.microsoft.com/office/drawing/2014/main" id="{EC9FA00D-EFCC-CDE4-6065-3CA36F8B25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419099</xdr:colOff>
      <xdr:row>7</xdr:row>
      <xdr:rowOff>119061</xdr:rowOff>
    </xdr:from>
    <xdr:to>
      <xdr:col>13</xdr:col>
      <xdr:colOff>47624</xdr:colOff>
      <xdr:row>23</xdr:row>
      <xdr:rowOff>123824</xdr:rowOff>
    </xdr:to>
    <xdr:graphicFrame macro="">
      <xdr:nvGraphicFramePr>
        <xdr:cNvPr id="3" name="Chart 2">
          <a:extLst>
            <a:ext uri="{FF2B5EF4-FFF2-40B4-BE49-F238E27FC236}">
              <a16:creationId xmlns:a16="http://schemas.microsoft.com/office/drawing/2014/main" id="{C7A080F7-037E-6F58-D8B2-68B41CB75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104775</xdr:colOff>
      <xdr:row>8</xdr:row>
      <xdr:rowOff>71437</xdr:rowOff>
    </xdr:from>
    <xdr:to>
      <xdr:col>11</xdr:col>
      <xdr:colOff>409575</xdr:colOff>
      <xdr:row>22</xdr:row>
      <xdr:rowOff>147637</xdr:rowOff>
    </xdr:to>
    <xdr:graphicFrame macro="">
      <xdr:nvGraphicFramePr>
        <xdr:cNvPr id="2" name="Chart 1">
          <a:extLst>
            <a:ext uri="{FF2B5EF4-FFF2-40B4-BE49-F238E27FC236}">
              <a16:creationId xmlns:a16="http://schemas.microsoft.com/office/drawing/2014/main" id="{6EE0F712-0226-53C5-9469-4AEEB1272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542925</xdr:colOff>
      <xdr:row>6</xdr:row>
      <xdr:rowOff>33337</xdr:rowOff>
    </xdr:from>
    <xdr:to>
      <xdr:col>16</xdr:col>
      <xdr:colOff>9525</xdr:colOff>
      <xdr:row>24</xdr:row>
      <xdr:rowOff>142875</xdr:rowOff>
    </xdr:to>
    <xdr:graphicFrame macro="">
      <xdr:nvGraphicFramePr>
        <xdr:cNvPr id="2" name="Chart 1">
          <a:extLst>
            <a:ext uri="{FF2B5EF4-FFF2-40B4-BE49-F238E27FC236}">
              <a16:creationId xmlns:a16="http://schemas.microsoft.com/office/drawing/2014/main" id="{A7B1653E-ADD4-28CE-6DCE-02022498E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352425</xdr:colOff>
      <xdr:row>7</xdr:row>
      <xdr:rowOff>147636</xdr:rowOff>
    </xdr:from>
    <xdr:to>
      <xdr:col>14</xdr:col>
      <xdr:colOff>238125</xdr:colOff>
      <xdr:row>22</xdr:row>
      <xdr:rowOff>152399</xdr:rowOff>
    </xdr:to>
    <xdr:graphicFrame macro="">
      <xdr:nvGraphicFramePr>
        <xdr:cNvPr id="2" name="Chart 1">
          <a:extLst>
            <a:ext uri="{FF2B5EF4-FFF2-40B4-BE49-F238E27FC236}">
              <a16:creationId xmlns:a16="http://schemas.microsoft.com/office/drawing/2014/main" id="{D18BB23A-9D4E-AA4B-B00F-311FCF5C6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19049</xdr:colOff>
      <xdr:row>8</xdr:row>
      <xdr:rowOff>119061</xdr:rowOff>
    </xdr:from>
    <xdr:to>
      <xdr:col>13</xdr:col>
      <xdr:colOff>581024</xdr:colOff>
      <xdr:row>24</xdr:row>
      <xdr:rowOff>104774</xdr:rowOff>
    </xdr:to>
    <xdr:graphicFrame macro="">
      <xdr:nvGraphicFramePr>
        <xdr:cNvPr id="5" name="Chart 4">
          <a:extLst>
            <a:ext uri="{FF2B5EF4-FFF2-40B4-BE49-F238E27FC236}">
              <a16:creationId xmlns:a16="http://schemas.microsoft.com/office/drawing/2014/main" id="{A3DF192A-1CE2-D24C-5F5E-A7E429796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228599</xdr:colOff>
      <xdr:row>7</xdr:row>
      <xdr:rowOff>71437</xdr:rowOff>
    </xdr:from>
    <xdr:to>
      <xdr:col>14</xdr:col>
      <xdr:colOff>238124</xdr:colOff>
      <xdr:row>23</xdr:row>
      <xdr:rowOff>28575</xdr:rowOff>
    </xdr:to>
    <xdr:graphicFrame macro="">
      <xdr:nvGraphicFramePr>
        <xdr:cNvPr id="2" name="Chart 1">
          <a:extLst>
            <a:ext uri="{FF2B5EF4-FFF2-40B4-BE49-F238E27FC236}">
              <a16:creationId xmlns:a16="http://schemas.microsoft.com/office/drawing/2014/main" id="{2EF222E9-A70C-F9A6-1A45-BEEA29516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590550</xdr:colOff>
      <xdr:row>7</xdr:row>
      <xdr:rowOff>147636</xdr:rowOff>
    </xdr:from>
    <xdr:to>
      <xdr:col>13</xdr:col>
      <xdr:colOff>457200</xdr:colOff>
      <xdr:row>22</xdr:row>
      <xdr:rowOff>152399</xdr:rowOff>
    </xdr:to>
    <xdr:graphicFrame macro="">
      <xdr:nvGraphicFramePr>
        <xdr:cNvPr id="2" name="Chart 1">
          <a:extLst>
            <a:ext uri="{FF2B5EF4-FFF2-40B4-BE49-F238E27FC236}">
              <a16:creationId xmlns:a16="http://schemas.microsoft.com/office/drawing/2014/main" id="{0D343A67-815E-BB2A-5AF6-19640EA31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352425</xdr:colOff>
      <xdr:row>4</xdr:row>
      <xdr:rowOff>38100</xdr:rowOff>
    </xdr:from>
    <xdr:to>
      <xdr:col>9</xdr:col>
      <xdr:colOff>400050</xdr:colOff>
      <xdr:row>21</xdr:row>
      <xdr:rowOff>157164</xdr:rowOff>
    </xdr:to>
    <xdr:graphicFrame macro="">
      <xdr:nvGraphicFramePr>
        <xdr:cNvPr id="2" name="Total Revenue by Product Type">
          <a:extLst>
            <a:ext uri="{FF2B5EF4-FFF2-40B4-BE49-F238E27FC236}">
              <a16:creationId xmlns:a16="http://schemas.microsoft.com/office/drawing/2014/main" id="{BC50BE38-A3D4-45B7-9E36-8AAFE4016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202825</xdr:colOff>
      <xdr:row>4</xdr:row>
      <xdr:rowOff>78442</xdr:rowOff>
    </xdr:from>
    <xdr:to>
      <xdr:col>21</xdr:col>
      <xdr:colOff>-1</xdr:colOff>
      <xdr:row>22</xdr:row>
      <xdr:rowOff>0</xdr:rowOff>
    </xdr:to>
    <xdr:graphicFrame macro="">
      <xdr:nvGraphicFramePr>
        <xdr:cNvPr id="3" name="Average Defect Rate by Supplier">
          <a:extLst>
            <a:ext uri="{FF2B5EF4-FFF2-40B4-BE49-F238E27FC236}">
              <a16:creationId xmlns:a16="http://schemas.microsoft.com/office/drawing/2014/main" id="{16EB5F85-4030-4C08-837D-06B5B518C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314325</xdr:colOff>
      <xdr:row>23</xdr:row>
      <xdr:rowOff>66675</xdr:rowOff>
    </xdr:from>
    <xdr:to>
      <xdr:col>9</xdr:col>
      <xdr:colOff>470647</xdr:colOff>
      <xdr:row>40</xdr:row>
      <xdr:rowOff>56030</xdr:rowOff>
    </xdr:to>
    <xdr:graphicFrame macro="">
      <xdr:nvGraphicFramePr>
        <xdr:cNvPr id="4" name="Average Shipping Cost by Transport Mode">
          <a:extLst>
            <a:ext uri="{FF2B5EF4-FFF2-40B4-BE49-F238E27FC236}">
              <a16:creationId xmlns:a16="http://schemas.microsoft.com/office/drawing/2014/main" id="{0248B384-7B41-4D92-A3E0-068B42E2B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137831</xdr:colOff>
      <xdr:row>23</xdr:row>
      <xdr:rowOff>19050</xdr:rowOff>
    </xdr:from>
    <xdr:to>
      <xdr:col>21</xdr:col>
      <xdr:colOff>56029</xdr:colOff>
      <xdr:row>40</xdr:row>
      <xdr:rowOff>67236</xdr:rowOff>
    </xdr:to>
    <xdr:graphicFrame macro="">
      <xdr:nvGraphicFramePr>
        <xdr:cNvPr id="5" name="Stock Levels vs Products Sold">
          <a:extLst>
            <a:ext uri="{FF2B5EF4-FFF2-40B4-BE49-F238E27FC236}">
              <a16:creationId xmlns:a16="http://schemas.microsoft.com/office/drawing/2014/main" id="{DC53FCDB-AA75-450A-ABF5-626316595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305918</xdr:colOff>
      <xdr:row>42</xdr:row>
      <xdr:rowOff>70595</xdr:rowOff>
    </xdr:from>
    <xdr:to>
      <xdr:col>10</xdr:col>
      <xdr:colOff>224118</xdr:colOff>
      <xdr:row>61</xdr:row>
      <xdr:rowOff>89648</xdr:rowOff>
    </xdr:to>
    <xdr:graphicFrame macro="">
      <xdr:nvGraphicFramePr>
        <xdr:cNvPr id="6" name="Manufacturing Cost vs Revenue by Product">
          <a:extLst>
            <a:ext uri="{FF2B5EF4-FFF2-40B4-BE49-F238E27FC236}">
              <a16:creationId xmlns:a16="http://schemas.microsoft.com/office/drawing/2014/main" id="{62BBACD6-8064-4398-9CA0-DFE7B8F9C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578784</xdr:colOff>
      <xdr:row>42</xdr:row>
      <xdr:rowOff>30815</xdr:rowOff>
    </xdr:from>
    <xdr:to>
      <xdr:col>21</xdr:col>
      <xdr:colOff>123264</xdr:colOff>
      <xdr:row>61</xdr:row>
      <xdr:rowOff>123265</xdr:rowOff>
    </xdr:to>
    <xdr:graphicFrame macro="">
      <xdr:nvGraphicFramePr>
        <xdr:cNvPr id="7" name="Inspection Results by Product Type">
          <a:extLst>
            <a:ext uri="{FF2B5EF4-FFF2-40B4-BE49-F238E27FC236}">
              <a16:creationId xmlns:a16="http://schemas.microsoft.com/office/drawing/2014/main" id="{512AA774-8E6C-46B7-933E-32AC499ED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333373</xdr:colOff>
      <xdr:row>64</xdr:row>
      <xdr:rowOff>95250</xdr:rowOff>
    </xdr:from>
    <xdr:to>
      <xdr:col>10</xdr:col>
      <xdr:colOff>44824</xdr:colOff>
      <xdr:row>82</xdr:row>
      <xdr:rowOff>56030</xdr:rowOff>
    </xdr:to>
    <xdr:graphicFrame macro="">
      <xdr:nvGraphicFramePr>
        <xdr:cNvPr id="8" name="Average Stock Level by Product Type">
          <a:extLst>
            <a:ext uri="{FF2B5EF4-FFF2-40B4-BE49-F238E27FC236}">
              <a16:creationId xmlns:a16="http://schemas.microsoft.com/office/drawing/2014/main" id="{4E1A83F5-D0B0-4AAC-9445-FA9741F0D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586627</xdr:colOff>
      <xdr:row>64</xdr:row>
      <xdr:rowOff>91887</xdr:rowOff>
    </xdr:from>
    <xdr:to>
      <xdr:col>20</xdr:col>
      <xdr:colOff>582706</xdr:colOff>
      <xdr:row>82</xdr:row>
      <xdr:rowOff>56030</xdr:rowOff>
    </xdr:to>
    <xdr:graphicFrame macro="">
      <xdr:nvGraphicFramePr>
        <xdr:cNvPr id="9" name="Orders by Shipping Carrier">
          <a:extLst>
            <a:ext uri="{FF2B5EF4-FFF2-40B4-BE49-F238E27FC236}">
              <a16:creationId xmlns:a16="http://schemas.microsoft.com/office/drawing/2014/main" id="{B020C6E4-3969-47C1-9E39-C6EDE5002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352425</xdr:colOff>
      <xdr:row>85</xdr:row>
      <xdr:rowOff>9524</xdr:rowOff>
    </xdr:from>
    <xdr:to>
      <xdr:col>9</xdr:col>
      <xdr:colOff>537882</xdr:colOff>
      <xdr:row>104</xdr:row>
      <xdr:rowOff>0</xdr:rowOff>
    </xdr:to>
    <xdr:graphicFrame macro="">
      <xdr:nvGraphicFramePr>
        <xdr:cNvPr id="10" name="Average Lead Time by Supplier">
          <a:extLst>
            <a:ext uri="{FF2B5EF4-FFF2-40B4-BE49-F238E27FC236}">
              <a16:creationId xmlns:a16="http://schemas.microsoft.com/office/drawing/2014/main" id="{79E2A20C-33D9-4D94-AE2F-55924DC04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16809</xdr:colOff>
      <xdr:row>84</xdr:row>
      <xdr:rowOff>158563</xdr:rowOff>
    </xdr:from>
    <xdr:to>
      <xdr:col>20</xdr:col>
      <xdr:colOff>593912</xdr:colOff>
      <xdr:row>103</xdr:row>
      <xdr:rowOff>168089</xdr:rowOff>
    </xdr:to>
    <xdr:graphicFrame macro="">
      <xdr:nvGraphicFramePr>
        <xdr:cNvPr id="11" name="Production Volume by Supplier">
          <a:extLst>
            <a:ext uri="{FF2B5EF4-FFF2-40B4-BE49-F238E27FC236}">
              <a16:creationId xmlns:a16="http://schemas.microsoft.com/office/drawing/2014/main" id="{6A60D2D2-FE8D-46B4-8E85-AC998922A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23</xdr:col>
      <xdr:colOff>557794</xdr:colOff>
      <xdr:row>8</xdr:row>
      <xdr:rowOff>124987</xdr:rowOff>
    </xdr:from>
    <xdr:to>
      <xdr:col>26</xdr:col>
      <xdr:colOff>557794</xdr:colOff>
      <xdr:row>22</xdr:row>
      <xdr:rowOff>124986</xdr:rowOff>
    </xdr:to>
    <mc:AlternateContent xmlns:mc="http://schemas.openxmlformats.org/markup-compatibility/2006">
      <mc:Choice xmlns:a14="http://schemas.microsoft.com/office/drawing/2010/main" Requires="a14">
        <xdr:graphicFrame macro="">
          <xdr:nvGraphicFramePr>
            <xdr:cNvPr id="12" name="Product type">
              <a:extLst>
                <a:ext uri="{FF2B5EF4-FFF2-40B4-BE49-F238E27FC236}">
                  <a16:creationId xmlns:a16="http://schemas.microsoft.com/office/drawing/2014/main" id="{B9AA9C48-12E4-E713-77A7-BABC70DE161B}"/>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14641187" y="1816160"/>
              <a:ext cx="1836964" cy="27214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0370369" backgroundQuery="1" createdVersion="8" refreshedVersion="8" minRefreshableVersion="3" recordCount="0" supportSubquery="1" supportAdvancedDrill="1" xr:uid="{4E1DD00E-5B95-45CF-9B0E-F57D510AE078}">
  <cacheSource type="external" connectionId="5"/>
  <cacheFields count="2">
    <cacheField name="[Products Table].[Product type].[Product type]" caption="Product type" numFmtId="0" hierarchy="7" level="1">
      <sharedItems count="3">
        <s v="cosmetics"/>
        <s v="haircare"/>
        <s v="skincare"/>
      </sharedItems>
    </cacheField>
    <cacheField name="[Measures].[Sum of Revenue generated]" caption="Sum of Revenue generated" numFmtId="0" hierarchy="59" level="32767"/>
  </cacheFields>
  <cacheHierarchies count="77">
    <cacheHierarchy uniqueName="[archive  6].[Content]" caption="Content" attribute="1" defaultMemberUniqueName="[archive  6].[Content].[All]" allUniqueName="[archive  6].[Content].[All]" dimensionUniqueName="[archive  6]" displayFolder="" count="2" memberValueDatatype="130" unbalanced="0"/>
    <cacheHierarchy uniqueName="[archive  6].[Name]" caption="Name" attribute="1" defaultMemberUniqueName="[archive  6].[Name].[All]" allUniqueName="[archive  6].[Name].[All]" dimensionUniqueName="[archive  6]" displayFolder="" count="2" memberValueDatatype="130" unbalanced="0"/>
    <cacheHierarchy uniqueName="[archive  6].[Extension]" caption="Extension" attribute="1" defaultMemberUniqueName="[archive  6].[Extension].[All]" allUniqueName="[archive  6].[Extension].[All]" dimensionUniqueName="[archive  6]" displayFolder="" count="2" memberValueDatatype="130" unbalanced="0"/>
    <cacheHierarchy uniqueName="[archive  6].[Date accessed]" caption="Date accessed" attribute="1" time="1" defaultMemberUniqueName="[archive  6].[Date accessed].[All]" allUniqueName="[archive  6].[Date accessed].[All]" dimensionUniqueName="[archive  6]" displayFolder="" count="2" memberValueDatatype="7" unbalanced="0"/>
    <cacheHierarchy uniqueName="[archive  6].[Date modified]" caption="Date modified" attribute="1" time="1" defaultMemberUniqueName="[archive  6].[Date modified].[All]" allUniqueName="[archive  6].[Date modified].[All]" dimensionUniqueName="[archive  6]" displayFolder="" count="2" memberValueDatatype="7" unbalanced="0"/>
    <cacheHierarchy uniqueName="[archive  6].[Date created]" caption="Date created" attribute="1" time="1" defaultMemberUniqueName="[archive  6].[Date created].[All]" allUniqueName="[archive  6].[Date created].[All]" dimensionUniqueName="[archive  6]" displayFolder="" count="2" memberValueDatatype="7" unbalanced="0"/>
    <cacheHierarchy uniqueName="[archive  6].[Folder Path]" caption="Folder Path" attribute="1" defaultMemberUniqueName="[archive  6].[Folder Path].[All]" allUniqueName="[archive  6].[Folder Path].[All]" dimensionUniqueName="[archive  6]" displayFolder="" count="2"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0"/>
      </fieldsUsage>
    </cacheHierarchy>
    <cacheHierarchy uniqueName="[Products Table].[SKU]" caption="SKU" attribute="1" defaultMemberUniqueName="[Products Table].[SKU].[All]" allUniqueName="[Products Table].[SKU].[All]" dimensionUniqueName="[Products Table]" displayFolder="" count="2" memberValueDatatype="130" unbalanced="0"/>
    <cacheHierarchy uniqueName="[Products Table].[Price]" caption="Price" attribute="1" defaultMemberUniqueName="[Products Table].[Price].[All]" allUniqueName="[Products Table].[Price].[All]" dimensionUniqueName="[Products Table]" displayFolder="" count="2" memberValueDatatype="5" unbalanced="0"/>
    <cacheHierarchy uniqueName="[Products Table].[Availability]" caption="Availability" attribute="1" defaultMemberUniqueName="[Products Table].[Availability].[All]" allUniqueName="[Products Table].[Availability].[All]" dimensionUniqueName="[Products Table]" displayFolder="" count="2"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2"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2"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2" memberValueDatatype="130" unbalanced="0"/>
    <cacheHierarchy uniqueName="[Products Table].[Stock levels]" caption="Stock levels" attribute="1" defaultMemberUniqueName="[Products Table].[Stock levels].[All]" allUniqueName="[Products Table].[Stock levels].[All]" dimensionUniqueName="[Products Table]" displayFolder="" count="2" memberValueDatatype="20" unbalanced="0"/>
    <cacheHierarchy uniqueName="[Products Table].[Lead times]" caption="Lead times" attribute="1" defaultMemberUniqueName="[Products Table].[Lead times].[All]" allUniqueName="[Products Table].[Lead times].[All]" dimensionUniqueName="[Products Table]" displayFolder="" count="2"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2" memberValueDatatype="20" unbalanced="0"/>
    <cacheHierarchy uniqueName="[Products Table].[Shipping times]" caption="Shipping times" attribute="1" defaultMemberUniqueName="[Products Table].[Shipping times].[All]" allUniqueName="[Products Table].[Shipping times].[All]" dimensionUniqueName="[Products Table]" displayFolder="" count="2"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2" memberValueDatatype="130" unbalanced="0"/>
    <cacheHierarchy uniqueName="[Products Table].[Shipping costs]" caption="Shipping costs" attribute="1" defaultMemberUniqueName="[Products Table].[Shipping costs].[All]" allUniqueName="[Products Table].[Shipping costs].[All]" dimensionUniqueName="[Products Table]" displayFolder="" count="2" memberValueDatatype="5" unbalanced="0"/>
    <cacheHierarchy uniqueName="[Products Table].[Supplier name]" caption="Supplier name" attribute="1" defaultMemberUniqueName="[Products Table].[Supplier name].[All]" allUniqueName="[Products Table].[Supplier name].[All]" dimensionUniqueName="[Products Table]" displayFolder="" count="2" memberValueDatatype="130" unbalanced="0"/>
    <cacheHierarchy uniqueName="[Products Table].[Location]" caption="Location" attribute="1" defaultMemberUniqueName="[Products Table].[Location].[All]" allUniqueName="[Products Table].[Location].[All]" dimensionUniqueName="[Products Table]" displayFolder="" count="2" memberValueDatatype="130" unbalanced="0"/>
    <cacheHierarchy uniqueName="[Products Table].[Lead time]" caption="Lead time" attribute="1" defaultMemberUniqueName="[Products Table].[Lead time].[All]" allUniqueName="[Products Table].[Lead time].[All]" dimensionUniqueName="[Products Table]" displayFolder="" count="2"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2"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2"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2"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2" memberValueDatatype="130" unbalanced="0"/>
    <cacheHierarchy uniqueName="[Products Table].[Defect rates]" caption="Defect rates" attribute="1" defaultMemberUniqueName="[Products Table].[Defect rates].[All]" allUniqueName="[Products Table].[Defect rates].[All]" dimensionUniqueName="[Products Table]" displayFolder="" count="2"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2" memberValueDatatype="130" unbalanced="0"/>
    <cacheHierarchy uniqueName="[Products Table].[Routes]" caption="Routes" attribute="1" defaultMemberUniqueName="[Products Table].[Routes].[All]" allUniqueName="[Products Table].[Routes].[All]" dimensionUniqueName="[Products Table]" displayFolder="" count="2" memberValueDatatype="130" unbalanced="0"/>
    <cacheHierarchy uniqueName="[Products Table].[Costs]" caption="Costs" attribute="1" defaultMemberUniqueName="[Products Table].[Costs].[All]" allUniqueName="[Products Table].[Costs].[All]" dimensionUniqueName="[Products Table]" displayFolder="" count="2" memberValueDatatype="5" unbalanced="0"/>
    <cacheHierarchy uniqueName="[Products_Table].[Product type]" caption="Product type" attribute="1" defaultMemberUniqueName="[Products_Table].[Product type].[All]" allUniqueName="[Products_Table].[Product type].[All]" dimensionUniqueName="[Products_Table]" displayFolder="" count="2" memberValueDatatype="130" unbalanced="0"/>
    <cacheHierarchy uniqueName="[Products_Table].[SKU]" caption="SKU" attribute="1" defaultMemberUniqueName="[Products_Table].[SKU].[All]" allUniqueName="[Products_Table].[SKU].[All]" dimensionUniqueName="[Products_Table]" displayFolder="" count="2" memberValueDatatype="130" unbalanced="0"/>
    <cacheHierarchy uniqueName="[Products_Table].[Price]" caption="Price" attribute="1" defaultMemberUniqueName="[Products_Table].[Price].[All]" allUniqueName="[Products_Table].[Price].[All]" dimensionUniqueName="[Products_Table]" displayFolder="" count="2" memberValueDatatype="5" unbalanced="0"/>
    <cacheHierarchy uniqueName="[Products_Table].[Availability]" caption="Availability" attribute="1" defaultMemberUniqueName="[Products_Table].[Availability].[All]" allUniqueName="[Products_Table].[Availability].[All]" dimensionUniqueName="[Products_Table]" displayFolder="" count="2"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2"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2"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2" memberValueDatatype="130" unbalanced="0"/>
    <cacheHierarchy uniqueName="[Products_Table].[Stock levels]" caption="Stock levels" attribute="1" defaultMemberUniqueName="[Products_Table].[Stock levels].[All]" allUniqueName="[Products_Table].[Stock levels].[All]" dimensionUniqueName="[Products_Table]" displayFolder="" count="2" memberValueDatatype="20" unbalanced="0"/>
    <cacheHierarchy uniqueName="[Products_Table].[Lead times]" caption="Lead times" attribute="1" defaultMemberUniqueName="[Products_Table].[Lead times].[All]" allUniqueName="[Products_Table].[Lead times].[All]" dimensionUniqueName="[Products_Table]" displayFolder="" count="2"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2" memberValueDatatype="20" unbalanced="0"/>
    <cacheHierarchy uniqueName="[Products_Table].[Shipping times]" caption="Shipping times" attribute="1" defaultMemberUniqueName="[Products_Table].[Shipping times].[All]" allUniqueName="[Products_Table].[Shipping times].[All]" dimensionUniqueName="[Products_Table]" displayFolder="" count="2"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2" memberValueDatatype="130" unbalanced="0"/>
    <cacheHierarchy uniqueName="[Products_Table].[Shipping costs]" caption="Shipping costs" attribute="1" defaultMemberUniqueName="[Products_Table].[Shipping costs].[All]" allUniqueName="[Products_Table].[Shipping costs].[All]" dimensionUniqueName="[Products_Table]" displayFolder="" count="2" memberValueDatatype="5" unbalanced="0"/>
    <cacheHierarchy uniqueName="[Products_Table].[Supplier name]" caption="Supplier name" attribute="1" defaultMemberUniqueName="[Products_Table].[Supplier name].[All]" allUniqueName="[Products_Table].[Supplier name].[All]" dimensionUniqueName="[Products_Table]" displayFolder="" count="2" memberValueDatatype="130" unbalanced="0"/>
    <cacheHierarchy uniqueName="[Products_Table].[Location]" caption="Location" attribute="1" defaultMemberUniqueName="[Products_Table].[Location].[All]" allUniqueName="[Products_Table].[Location].[All]" dimensionUniqueName="[Products_Table]" displayFolder="" count="2" memberValueDatatype="130" unbalanced="0"/>
    <cacheHierarchy uniqueName="[Products_Table].[Lead time]" caption="Lead time" attribute="1" defaultMemberUniqueName="[Products_Table].[Lead time].[All]" allUniqueName="[Products_Table].[Lead time].[All]" dimensionUniqueName="[Products_Table]" displayFolder="" count="2"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2"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2"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2"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2" memberValueDatatype="130" unbalanced="0"/>
    <cacheHierarchy uniqueName="[Products_Table].[Defect rates]" caption="Defect rates" attribute="1" defaultMemberUniqueName="[Products_Table].[Defect rates].[All]" allUniqueName="[Products_Table].[Defect rates].[All]" dimensionUniqueName="[Products_Table]" displayFolder="" count="2"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2" memberValueDatatype="130" unbalanced="0"/>
    <cacheHierarchy uniqueName="[Products_Table].[Routes]" caption="Routes" attribute="1" defaultMemberUniqueName="[Products_Table].[Routes].[All]" allUniqueName="[Products_Table].[Routes].[All]" dimensionUniqueName="[Products_Table]" displayFolder="" count="2" memberValueDatatype="130" unbalanced="0"/>
    <cacheHierarchy uniqueName="[Products_Table].[Costs]" caption="Costs" attribute="1" defaultMemberUniqueName="[Products_Table].[Costs].[All]" allUniqueName="[Products_Table].[Costs].[All]" dimensionUniqueName="[Products_Table]" displayFolder="" count="2"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0717592" backgroundQuery="1" createdVersion="8" refreshedVersion="8" minRefreshableVersion="3" recordCount="0" supportSubquery="1" supportAdvancedDrill="1" xr:uid="{9B84C105-96CD-425B-A920-02609516F4CD}">
  <cacheSource type="external" connectionId="5"/>
  <cacheFields count="3">
    <cacheField name="[Products Table].[Product type].[Product type]" caption="Product type" numFmtId="0" hierarchy="7" level="1">
      <sharedItems count="3">
        <s v="cosmetics"/>
        <s v="haircare"/>
        <s v="skincare"/>
      </sharedItems>
    </cacheField>
    <cacheField name="[Measures].[Sum of Revenue generated]" caption="Sum of Revenue generated" numFmtId="0" hierarchy="59" level="32767"/>
    <cacheField name="[Measures].[Average of Manufacturing costs]" caption="Average of Manufacturing costs" numFmtId="0" hierarchy="69" level="32767"/>
  </cacheFields>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0"/>
      </fieldsUsage>
    </cacheHierarchy>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0" memberValueDatatype="130" unbalanced="0"/>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0" memberValueDatatype="130" unbalanced="0"/>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0" memberValueDatatype="130" unbalanced="0"/>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0" memberValueDatatype="130" unbalanced="0"/>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0" memberValueDatatype="130" unbalanced="0"/>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0" memberValueDatatype="130" unbalanced="0"/>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oneField="1" hidden="1">
      <fieldsUsage count="1">
        <fieldUsage x="2"/>
      </fieldsUsage>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1064815" backgroundQuery="1" createdVersion="8" refreshedVersion="8" minRefreshableVersion="3" recordCount="0" supportSubquery="1" supportAdvancedDrill="1" xr:uid="{7CFDB2ED-A13E-4D54-AA86-C14F3D86E6F1}">
  <cacheSource type="external" connectionId="5"/>
  <cacheFields count="3">
    <cacheField name="[Products Table].[Supplier name].[Supplier name]" caption="Supplier name" numFmtId="0" hierarchy="20" level="1">
      <sharedItems count="5">
        <s v="Supplier 1"/>
        <s v="Supplier 2"/>
        <s v="Supplier 3"/>
        <s v="Supplier 4"/>
        <s v="Supplier 5"/>
      </sharedItems>
    </cacheField>
    <cacheField name="[Measures].[Sum of Production volumes]" caption="Sum of Production volumes" numFmtId="0" hierarchy="76" level="32767"/>
    <cacheField name="[Products Table].[Product type].[Product type]" caption="Product type" numFmtId="0" hierarchy="7" level="1">
      <sharedItems containsSemiMixedTypes="0" containsNonDate="0" containsString="0"/>
    </cacheField>
  </cacheFields>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2"/>
      </fieldsUsage>
    </cacheHierarchy>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0" memberValueDatatype="130" unbalanced="0"/>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2" memberValueDatatype="130" unbalanced="0">
      <fieldsUsage count="2">
        <fieldUsage x="-1"/>
        <fieldUsage x="0"/>
      </fieldsUsage>
    </cacheHierarchy>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0" memberValueDatatype="130" unbalanced="0"/>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0" memberValueDatatype="130" unbalanced="0"/>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0" memberValueDatatype="130" unbalanced="0"/>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0" memberValueDatatype="130" unbalanced="0"/>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hidden="1">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1412038" backgroundQuery="1" createdVersion="8" refreshedVersion="8" minRefreshableVersion="3" recordCount="0" supportSubquery="1" supportAdvancedDrill="1" xr:uid="{E27D76A6-99D9-431B-BEDE-C9EFD8517308}">
  <cacheSource type="external" connectionId="5"/>
  <cacheFields count="3">
    <cacheField name="[Products_Table].[Product type].[Product type]" caption="Product type" numFmtId="0" hierarchy="31" level="1">
      <sharedItems count="3">
        <s v="cosmetics"/>
        <s v="haircare"/>
        <s v="skincare"/>
      </sharedItems>
    </cacheField>
    <cacheField name="[Measures].[Average of Stock levels 2]" caption="Average of Stock levels 2" numFmtId="0" hierarchy="73" level="32767"/>
    <cacheField name="[Products Table].[Product type].[Product type]" caption="Product type" numFmtId="0" hierarchy="7" level="1">
      <sharedItems containsSemiMixedTypes="0" containsNonDate="0" containsString="0"/>
    </cacheField>
  </cacheFields>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2"/>
      </fieldsUsage>
    </cacheHierarchy>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0" memberValueDatatype="130" unbalanced="0"/>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0" memberValueDatatype="130" unbalanced="0"/>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0" memberValueDatatype="130" unbalanced="0"/>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0" memberValueDatatype="130" unbalanced="0"/>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2" memberValueDatatype="130" unbalanced="0">
      <fieldsUsage count="2">
        <fieldUsage x="-1"/>
        <fieldUsage x="0"/>
      </fieldsUsage>
    </cacheHierarchy>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0" memberValueDatatype="130" unbalanced="0"/>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hidden="1">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1759262" backgroundQuery="1" createdVersion="8" refreshedVersion="8" minRefreshableVersion="3" recordCount="0" supportSubquery="1" supportAdvancedDrill="1" xr:uid="{ADE661D2-7945-444C-B11C-CA76F35919D5}">
  <cacheSource type="external" connectionId="5"/>
  <cacheFields count="3">
    <cacheField name="[Products Table].[Supplier name].[Supplier name]" caption="Supplier name" numFmtId="0" hierarchy="20" level="1">
      <sharedItems count="5">
        <s v="Supplier 1"/>
        <s v="Supplier 2"/>
        <s v="Supplier 3"/>
        <s v="Supplier 4"/>
        <s v="Supplier 5"/>
      </sharedItems>
    </cacheField>
    <cacheField name="[Measures].[Average of Defect rates]" caption="Average of Defect rates" numFmtId="0" hierarchy="61" level="32767"/>
    <cacheField name="[Products Table].[Product type].[Product type]" caption="Product type" numFmtId="0" hierarchy="7" level="1">
      <sharedItems containsSemiMixedTypes="0" containsNonDate="0" containsString="0"/>
    </cacheField>
  </cacheFields>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2"/>
      </fieldsUsage>
    </cacheHierarchy>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0" memberValueDatatype="130" unbalanced="0"/>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2" memberValueDatatype="130" unbalanced="0">
      <fieldsUsage count="2">
        <fieldUsage x="-1"/>
        <fieldUsage x="0"/>
      </fieldsUsage>
    </cacheHierarchy>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0" memberValueDatatype="130" unbalanced="0"/>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0" memberValueDatatype="130" unbalanced="0"/>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0" memberValueDatatype="130" unbalanced="0"/>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0" memberValueDatatype="130" unbalanced="0"/>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hidden="1">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2222224" backgroundQuery="1" createdVersion="8" refreshedVersion="8" minRefreshableVersion="3" recordCount="0" supportSubquery="1" supportAdvancedDrill="1" xr:uid="{EB108D60-1B37-48F6-92D0-A049B7B456CE}">
  <cacheSource type="external" connectionId="5"/>
  <cacheFields count="3">
    <cacheField name="[Products Table].[Product type].[Product type]" caption="Product type" numFmtId="0" hierarchy="7" level="1">
      <sharedItems count="3">
        <s v="cosmetics"/>
        <s v="haircare"/>
        <s v="skincare"/>
      </sharedItems>
    </cacheField>
    <cacheField name="[Measures].[Count of SKU]" caption="Count of SKU" numFmtId="0" hierarchy="71" level="32767"/>
    <cacheField name="[Products Table].[Inspection results].[Inspection results]" caption="Inspection results" numFmtId="0" hierarchy="26" level="1">
      <sharedItems count="3">
        <s v="Fail"/>
        <s v="Pass"/>
        <s v="Pending"/>
      </sharedItems>
    </cacheField>
  </cacheFields>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0"/>
      </fieldsUsage>
    </cacheHierarchy>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0" memberValueDatatype="130" unbalanced="0"/>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0" memberValueDatatype="130" unbalanced="0"/>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2" memberValueDatatype="130" unbalanced="0">
      <fieldsUsage count="2">
        <fieldUsage x="-1"/>
        <fieldUsage x="2"/>
      </fieldsUsage>
    </cacheHierarchy>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0" memberValueDatatype="130" unbalanced="0"/>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0" memberValueDatatype="130" unbalanced="0"/>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0" memberValueDatatype="130" unbalanced="0"/>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hidden="1">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2453701" backgroundQuery="1" createdVersion="8" refreshedVersion="8" minRefreshableVersion="3" recordCount="0" supportSubquery="1" supportAdvancedDrill="1" xr:uid="{72FDB538-CCF9-46EB-B3A1-39BBDC0CD1C4}">
  <cacheSource type="external" connectionId="5"/>
  <cacheFields count="3">
    <cacheField name="[Products_Table].[Supplier name].[Supplier name]" caption="Supplier name" numFmtId="0" hierarchy="44" level="1">
      <sharedItems count="5">
        <s v="Supplier 1"/>
        <s v="Supplier 2"/>
        <s v="Supplier 3"/>
        <s v="Supplier 4"/>
        <s v="Supplier 5"/>
      </sharedItems>
    </cacheField>
    <cacheField name="[Measures].[Average of Lead time]" caption="Average of Lead time" numFmtId="0" hierarchy="75" level="32767"/>
    <cacheField name="[Products Table].[Product type].[Product type]" caption="Product type" numFmtId="0" hierarchy="7" level="1">
      <sharedItems containsSemiMixedTypes="0" containsNonDate="0" containsString="0"/>
    </cacheField>
  </cacheFields>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2"/>
      </fieldsUsage>
    </cacheHierarchy>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0" memberValueDatatype="130" unbalanced="0"/>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0" memberValueDatatype="130" unbalanced="0"/>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0" memberValueDatatype="130" unbalanced="0"/>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0" memberValueDatatype="130" unbalanced="0"/>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0" memberValueDatatype="130" unbalanced="0"/>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2" memberValueDatatype="130" unbalanced="0">
      <fieldsUsage count="2">
        <fieldUsage x="-1"/>
        <fieldUsage x="0"/>
      </fieldsUsage>
    </cacheHierarchy>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hidden="1">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291667" backgroundQuery="1" createdVersion="8" refreshedVersion="8" minRefreshableVersion="3" recordCount="0" supportSubquery="1" supportAdvancedDrill="1" xr:uid="{5F2B7AE6-6ED9-4FFF-AF30-3125BFAE217A}">
  <cacheSource type="external" connectionId="5"/>
  <cacheFields count="3">
    <cacheField name="[Products Table].[Transportation modes].[Transportation modes]" caption="Transportation modes" numFmtId="0" hierarchy="28" level="1">
      <sharedItems count="4">
        <s v="Air"/>
        <s v="Rail"/>
        <s v="Road"/>
        <s v="Sea"/>
      </sharedItems>
    </cacheField>
    <cacheField name="[Measures].[Average of Shipping costs]" caption="Average of Shipping costs" numFmtId="0" hierarchy="63" level="32767"/>
    <cacheField name="[Products Table].[Product type].[Product type]" caption="Product type" numFmtId="0" hierarchy="7" level="1">
      <sharedItems containsSemiMixedTypes="0" containsNonDate="0" containsString="0"/>
    </cacheField>
  </cacheFields>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2"/>
      </fieldsUsage>
    </cacheHierarchy>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0" memberValueDatatype="130" unbalanced="0"/>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0" memberValueDatatype="130" unbalanced="0"/>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0" memberValueDatatype="130" unbalanced="0"/>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2" memberValueDatatype="130" unbalanced="0">
      <fieldsUsage count="2">
        <fieldUsage x="-1"/>
        <fieldUsage x="0"/>
      </fieldsUsage>
    </cacheHierarchy>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0" memberValueDatatype="130" unbalanced="0"/>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0" memberValueDatatype="130" unbalanced="0"/>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hidden="1">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3263886" backgroundQuery="1" createdVersion="8" refreshedVersion="8" minRefreshableVersion="3" recordCount="0" supportSubquery="1" supportAdvancedDrill="1" xr:uid="{61432163-ACBC-44D0-A652-E251E5EF85AB}">
  <cacheSource type="external" connectionId="5"/>
  <cacheFields count="3">
    <cacheField name="[Products Table].[Shipping carriers].[Shipping carriers]" caption="Shipping carriers" numFmtId="0" hierarchy="18" level="1">
      <sharedItems count="3">
        <s v="Carrier A"/>
        <s v="Carrier B"/>
        <s v="Carrier C"/>
      </sharedItems>
    </cacheField>
    <cacheField name="[Measures].[Average of Shipping costs]" caption="Average of Shipping costs" numFmtId="0" hierarchy="63" level="32767"/>
    <cacheField name="[Products Table].[Product type].[Product type]" caption="Product type" numFmtId="0" hierarchy="7" level="1">
      <sharedItems containsSemiMixedTypes="0" containsNonDate="0" containsString="0"/>
    </cacheField>
  </cacheFields>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2"/>
      </fieldsUsage>
    </cacheHierarchy>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2" memberValueDatatype="130" unbalanced="0">
      <fieldsUsage count="2">
        <fieldUsage x="-1"/>
        <fieldUsage x="0"/>
      </fieldsUsage>
    </cacheHierarchy>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0" memberValueDatatype="130" unbalanced="0"/>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0" memberValueDatatype="130" unbalanced="0"/>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0" memberValueDatatype="130" unbalanced="0"/>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0" memberValueDatatype="130" unbalanced="0"/>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0" memberValueDatatype="130" unbalanced="0"/>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hidden="1">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3073611109" backgroundQuery="1" createdVersion="8" refreshedVersion="8" minRefreshableVersion="3" recordCount="0" supportSubquery="1" supportAdvancedDrill="1" xr:uid="{09F4BF97-76D3-4069-A04F-B9A84C4DC1D5}">
  <cacheSource type="external" connectionId="5"/>
  <cacheFields count="3">
    <cacheField name="[Products Table].[Product type].[Product type]" caption="Product type" numFmtId="0" hierarchy="7" level="1">
      <sharedItems count="3">
        <s v="cosmetics"/>
        <s v="haircare"/>
        <s v="skincare"/>
      </sharedItems>
    </cacheField>
    <cacheField name="[Measures].[Sum of Number of products sold]" caption="Sum of Number of products sold" numFmtId="0" hierarchy="65" level="32767"/>
    <cacheField name="[Measures].[Average of Stock levels]" caption="Average of Stock levels" numFmtId="0" hierarchy="67" level="32767"/>
  </cacheFields>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fieldsUsage count="2">
        <fieldUsage x="-1"/>
        <fieldUsage x="0"/>
      </fieldsUsage>
    </cacheHierarchy>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0" memberValueDatatype="130" unbalanced="0"/>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0" memberValueDatatype="130" unbalanced="0"/>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0" memberValueDatatype="130" unbalanced="0"/>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0" memberValueDatatype="130" unbalanced="0"/>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0" memberValueDatatype="130" unbalanced="0"/>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0" memberValueDatatype="130" unbalanced="0"/>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hidden="1">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dimensions count="4">
    <dimension name="archive  6" uniqueName="[archive  6]" caption="archive  6"/>
    <dimension measure="1" name="Measures" uniqueName="[Measures]" caption="Measures"/>
    <dimension name="Products Table" uniqueName="[Products Table]" caption="Products Table"/>
    <dimension name="Products_Table" uniqueName="[Products_Table]" caption="Products_Table"/>
  </dimensions>
  <measureGroups count="3">
    <measureGroup name="archive  6" caption="archive  6"/>
    <measureGroup name="Products Table" caption="Products Table"/>
    <measureGroup name="Products_Table" caption="Products_Table"/>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iha" refreshedDate="46153.831970254629" backgroundQuery="1" createdVersion="3" refreshedVersion="8" minRefreshableVersion="3" recordCount="0" supportSubquery="1" supportAdvancedDrill="1" xr:uid="{24FBE242-5DFE-4019-8EB6-23AA61E18577}">
  <cacheSource type="external" connectionId="5">
    <extLst>
      <ext xmlns:x14="http://schemas.microsoft.com/office/spreadsheetml/2009/9/main" uri="{F057638F-6D5F-4e77-A914-E7F072B9BCA8}">
        <x14:sourceConnection name="ThisWorkbookDataModel"/>
      </ext>
    </extLst>
  </cacheSource>
  <cacheFields count="0"/>
  <cacheHierarchies count="77">
    <cacheHierarchy uniqueName="[archive  6].[Content]" caption="Content" attribute="1" defaultMemberUniqueName="[archive  6].[Content].[All]" allUniqueName="[archive  6].[Content].[All]" dimensionUniqueName="[archive  6]" displayFolder="" count="0" memberValueDatatype="130" unbalanced="0"/>
    <cacheHierarchy uniqueName="[archive  6].[Name]" caption="Name" attribute="1" defaultMemberUniqueName="[archive  6].[Name].[All]" allUniqueName="[archive  6].[Name].[All]" dimensionUniqueName="[archive  6]" displayFolder="" count="0" memberValueDatatype="130" unbalanced="0"/>
    <cacheHierarchy uniqueName="[archive  6].[Extension]" caption="Extension" attribute="1" defaultMemberUniqueName="[archive  6].[Extension].[All]" allUniqueName="[archive  6].[Extension].[All]" dimensionUniqueName="[archive  6]" displayFolder="" count="0" memberValueDatatype="130" unbalanced="0"/>
    <cacheHierarchy uniqueName="[archive  6].[Date accessed]" caption="Date accessed" attribute="1" time="1" defaultMemberUniqueName="[archive  6].[Date accessed].[All]" allUniqueName="[archive  6].[Date accessed].[All]" dimensionUniqueName="[archive  6]" displayFolder="" count="0" memberValueDatatype="7" unbalanced="0"/>
    <cacheHierarchy uniqueName="[archive  6].[Date modified]" caption="Date modified" attribute="1" time="1" defaultMemberUniqueName="[archive  6].[Date modified].[All]" allUniqueName="[archive  6].[Date modified].[All]" dimensionUniqueName="[archive  6]" displayFolder="" count="0" memberValueDatatype="7" unbalanced="0"/>
    <cacheHierarchy uniqueName="[archive  6].[Date created]" caption="Date created" attribute="1" time="1" defaultMemberUniqueName="[archive  6].[Date created].[All]" allUniqueName="[archive  6].[Date created].[All]" dimensionUniqueName="[archive  6]" displayFolder="" count="0" memberValueDatatype="7" unbalanced="0"/>
    <cacheHierarchy uniqueName="[archive  6].[Folder Path]" caption="Folder Path" attribute="1" defaultMemberUniqueName="[archive  6].[Folder Path].[All]" allUniqueName="[archive  6].[Folder Path].[All]" dimensionUniqueName="[archive  6]" displayFolder="" count="0" memberValueDatatype="130" unbalanced="0"/>
    <cacheHierarchy uniqueName="[Products Table].[Product type]" caption="Product type" attribute="1" defaultMemberUniqueName="[Products Table].[Product type].[All]" allUniqueName="[Products Table].[Product type].[All]" dimensionUniqueName="[Products Table]" displayFolder="" count="2" memberValueDatatype="130" unbalanced="0"/>
    <cacheHierarchy uniqueName="[Products Table].[SKU]" caption="SKU" attribute="1" defaultMemberUniqueName="[Products Table].[SKU].[All]" allUniqueName="[Products Table].[SKU].[All]" dimensionUniqueName="[Products Table]" displayFolder="" count="0" memberValueDatatype="130" unbalanced="0"/>
    <cacheHierarchy uniqueName="[Products Table].[Price]" caption="Price" attribute="1" defaultMemberUniqueName="[Products Table].[Price].[All]" allUniqueName="[Products Table].[Price].[All]" dimensionUniqueName="[Products Table]" displayFolder="" count="0" memberValueDatatype="5" unbalanced="0"/>
    <cacheHierarchy uniqueName="[Products Table].[Availability]" caption="Availability" attribute="1" defaultMemberUniqueName="[Products Table].[Availability].[All]" allUniqueName="[Products Table].[Availability].[All]" dimensionUniqueName="[Products Table]" displayFolder="" count="0" memberValueDatatype="20" unbalanced="0"/>
    <cacheHierarchy uniqueName="[Products Table].[Number of products sold]" caption="Number of products sold" attribute="1" defaultMemberUniqueName="[Products Table].[Number of products sold].[All]" allUniqueName="[Products Table].[Number of products sold].[All]" dimensionUniqueName="[Products Table]" displayFolder="" count="0" memberValueDatatype="20" unbalanced="0"/>
    <cacheHierarchy uniqueName="[Products Table].[Revenue generated]" caption="Revenue generated" attribute="1" defaultMemberUniqueName="[Products Table].[Revenue generated].[All]" allUniqueName="[Products Table].[Revenue generated].[All]" dimensionUniqueName="[Products Table]" displayFolder="" count="0" memberValueDatatype="5" unbalanced="0"/>
    <cacheHierarchy uniqueName="[Products Table].[Customer demographics]" caption="Customer demographics" attribute="1" defaultMemberUniqueName="[Products Table].[Customer demographics].[All]" allUniqueName="[Products Table].[Customer demographics].[All]" dimensionUniqueName="[Products Table]" displayFolder="" count="0" memberValueDatatype="130" unbalanced="0"/>
    <cacheHierarchy uniqueName="[Products Table].[Stock levels]" caption="Stock levels" attribute="1" defaultMemberUniqueName="[Products Table].[Stock levels].[All]" allUniqueName="[Products Table].[Stock levels].[All]" dimensionUniqueName="[Products Table]" displayFolder="" count="0" memberValueDatatype="20" unbalanced="0"/>
    <cacheHierarchy uniqueName="[Products Table].[Lead times]" caption="Lead times" attribute="1" defaultMemberUniqueName="[Products Table].[Lead times].[All]" allUniqueName="[Products Table].[Lead times].[All]" dimensionUniqueName="[Products Table]" displayFolder="" count="0" memberValueDatatype="20" unbalanced="0"/>
    <cacheHierarchy uniqueName="[Products Table].[Order quantities]" caption="Order quantities" attribute="1" defaultMemberUniqueName="[Products Table].[Order quantities].[All]" allUniqueName="[Products Table].[Order quantities].[All]" dimensionUniqueName="[Products Table]" displayFolder="" count="0" memberValueDatatype="20" unbalanced="0"/>
    <cacheHierarchy uniqueName="[Products Table].[Shipping times]" caption="Shipping times" attribute="1" defaultMemberUniqueName="[Products Table].[Shipping times].[All]" allUniqueName="[Products Table].[Shipping times].[All]" dimensionUniqueName="[Products Table]" displayFolder="" count="0" memberValueDatatype="20" unbalanced="0"/>
    <cacheHierarchy uniqueName="[Products Table].[Shipping carriers]" caption="Shipping carriers" attribute="1" defaultMemberUniqueName="[Products Table].[Shipping carriers].[All]" allUniqueName="[Products Table].[Shipping carriers].[All]" dimensionUniqueName="[Products Table]" displayFolder="" count="0" memberValueDatatype="130" unbalanced="0"/>
    <cacheHierarchy uniqueName="[Products Table].[Shipping costs]" caption="Shipping costs" attribute="1" defaultMemberUniqueName="[Products Table].[Shipping costs].[All]" allUniqueName="[Products Table].[Shipping costs].[All]" dimensionUniqueName="[Products Table]" displayFolder="" count="0" memberValueDatatype="5" unbalanced="0"/>
    <cacheHierarchy uniqueName="[Products Table].[Supplier name]" caption="Supplier name" attribute="1" defaultMemberUniqueName="[Products Table].[Supplier name].[All]" allUniqueName="[Products Table].[Supplier name].[All]" dimensionUniqueName="[Products Table]" displayFolder="" count="0" memberValueDatatype="130" unbalanced="0"/>
    <cacheHierarchy uniqueName="[Products Table].[Location]" caption="Location" attribute="1" defaultMemberUniqueName="[Products Table].[Location].[All]" allUniqueName="[Products Table].[Location].[All]" dimensionUniqueName="[Products Table]" displayFolder="" count="0" memberValueDatatype="130" unbalanced="0"/>
    <cacheHierarchy uniqueName="[Products Table].[Lead time]" caption="Lead time" attribute="1" defaultMemberUniqueName="[Products Table].[Lead time].[All]" allUniqueName="[Products Table].[Lead time].[All]" dimensionUniqueName="[Products Table]" displayFolder="" count="0" memberValueDatatype="20" unbalanced="0"/>
    <cacheHierarchy uniqueName="[Products Table].[Production volumes]" caption="Production volumes" attribute="1" defaultMemberUniqueName="[Products Table].[Production volumes].[All]" allUniqueName="[Products Table].[Production volumes].[All]" dimensionUniqueName="[Products Table]" displayFolder="" count="0" memberValueDatatype="20" unbalanced="0"/>
    <cacheHierarchy uniqueName="[Products Table].[Manufacturing lead time]" caption="Manufacturing lead time" attribute="1" defaultMemberUniqueName="[Products Table].[Manufacturing lead time].[All]" allUniqueName="[Products Table].[Manufacturing lead time].[All]" dimensionUniqueName="[Products Table]" displayFolder="" count="0" memberValueDatatype="20" unbalanced="0"/>
    <cacheHierarchy uniqueName="[Products Table].[Manufacturing costs]" caption="Manufacturing costs" attribute="1" defaultMemberUniqueName="[Products Table].[Manufacturing costs].[All]" allUniqueName="[Products Table].[Manufacturing costs].[All]" dimensionUniqueName="[Products Table]" displayFolder="" count="0" memberValueDatatype="5" unbalanced="0"/>
    <cacheHierarchy uniqueName="[Products Table].[Inspection results]" caption="Inspection results" attribute="1" defaultMemberUniqueName="[Products Table].[Inspection results].[All]" allUniqueName="[Products Table].[Inspection results].[All]" dimensionUniqueName="[Products Table]" displayFolder="" count="0" memberValueDatatype="130" unbalanced="0"/>
    <cacheHierarchy uniqueName="[Products Table].[Defect rates]" caption="Defect rates" attribute="1" defaultMemberUniqueName="[Products Table].[Defect rates].[All]" allUniqueName="[Products Table].[Defect rates].[All]" dimensionUniqueName="[Products Table]" displayFolder="" count="0" memberValueDatatype="5" unbalanced="0"/>
    <cacheHierarchy uniqueName="[Products Table].[Transportation modes]" caption="Transportation modes" attribute="1" defaultMemberUniqueName="[Products Table].[Transportation modes].[All]" allUniqueName="[Products Table].[Transportation modes].[All]" dimensionUniqueName="[Products Table]" displayFolder="" count="0" memberValueDatatype="130" unbalanced="0"/>
    <cacheHierarchy uniqueName="[Products Table].[Routes]" caption="Routes" attribute="1" defaultMemberUniqueName="[Products Table].[Routes].[All]" allUniqueName="[Products Table].[Routes].[All]" dimensionUniqueName="[Products Table]" displayFolder="" count="0" memberValueDatatype="130" unbalanced="0"/>
    <cacheHierarchy uniqueName="[Products Table].[Costs]" caption="Costs" attribute="1" defaultMemberUniqueName="[Products Table].[Costs].[All]" allUniqueName="[Products Table].[Costs].[All]" dimensionUniqueName="[Products Table]" displayFolder="" count="0" memberValueDatatype="5" unbalanced="0"/>
    <cacheHierarchy uniqueName="[Products_Table].[Product type]" caption="Product type" attribute="1" defaultMemberUniqueName="[Products_Table].[Product type].[All]" allUniqueName="[Products_Table].[Product type].[All]" dimensionUniqueName="[Products_Table]" displayFolder="" count="0" memberValueDatatype="130" unbalanced="0"/>
    <cacheHierarchy uniqueName="[Products_Table].[SKU]" caption="SKU" attribute="1" defaultMemberUniqueName="[Products_Table].[SKU].[All]" allUniqueName="[Products_Table].[SKU].[All]" dimensionUniqueName="[Products_Table]" displayFolder="" count="0" memberValueDatatype="130" unbalanced="0"/>
    <cacheHierarchy uniqueName="[Products_Table].[Price]" caption="Price" attribute="1" defaultMemberUniqueName="[Products_Table].[Price].[All]" allUniqueName="[Products_Table].[Price].[All]" dimensionUniqueName="[Products_Table]" displayFolder="" count="0" memberValueDatatype="5" unbalanced="0"/>
    <cacheHierarchy uniqueName="[Products_Table].[Availability]" caption="Availability" attribute="1" defaultMemberUniqueName="[Products_Table].[Availability].[All]" allUniqueName="[Products_Table].[Availability].[All]" dimensionUniqueName="[Products_Table]" displayFolder="" count="0" memberValueDatatype="20" unbalanced="0"/>
    <cacheHierarchy uniqueName="[Products_Table].[Number of products sold]" caption="Number of products sold" attribute="1" defaultMemberUniqueName="[Products_Table].[Number of products sold].[All]" allUniqueName="[Products_Table].[Number of products sold].[All]" dimensionUniqueName="[Products_Table]" displayFolder="" count="0" memberValueDatatype="20" unbalanced="0"/>
    <cacheHierarchy uniqueName="[Products_Table].[Revenue generated]" caption="Revenue generated" attribute="1" defaultMemberUniqueName="[Products_Table].[Revenue generated].[All]" allUniqueName="[Products_Table].[Revenue generated].[All]" dimensionUniqueName="[Products_Table]" displayFolder="" count="0" memberValueDatatype="5" unbalanced="0"/>
    <cacheHierarchy uniqueName="[Products_Table].[Customer demographics]" caption="Customer demographics" attribute="1" defaultMemberUniqueName="[Products_Table].[Customer demographics].[All]" allUniqueName="[Products_Table].[Customer demographics].[All]" dimensionUniqueName="[Products_Table]" displayFolder="" count="0" memberValueDatatype="130" unbalanced="0"/>
    <cacheHierarchy uniqueName="[Products_Table].[Stock levels]" caption="Stock levels" attribute="1" defaultMemberUniqueName="[Products_Table].[Stock levels].[All]" allUniqueName="[Products_Table].[Stock levels].[All]" dimensionUniqueName="[Products_Table]" displayFolder="" count="0" memberValueDatatype="20" unbalanced="0"/>
    <cacheHierarchy uniqueName="[Products_Table].[Lead times]" caption="Lead times" attribute="1" defaultMemberUniqueName="[Products_Table].[Lead times].[All]" allUniqueName="[Products_Table].[Lead times].[All]" dimensionUniqueName="[Products_Table]" displayFolder="" count="0" memberValueDatatype="20" unbalanced="0"/>
    <cacheHierarchy uniqueName="[Products_Table].[Order quantities]" caption="Order quantities" attribute="1" defaultMemberUniqueName="[Products_Table].[Order quantities].[All]" allUniqueName="[Products_Table].[Order quantities].[All]" dimensionUniqueName="[Products_Table]" displayFolder="" count="0" memberValueDatatype="20" unbalanced="0"/>
    <cacheHierarchy uniqueName="[Products_Table].[Shipping times]" caption="Shipping times" attribute="1" defaultMemberUniqueName="[Products_Table].[Shipping times].[All]" allUniqueName="[Products_Table].[Shipping times].[All]" dimensionUniqueName="[Products_Table]" displayFolder="" count="0" memberValueDatatype="20" unbalanced="0"/>
    <cacheHierarchy uniqueName="[Products_Table].[Shipping carriers]" caption="Shipping carriers" attribute="1" defaultMemberUniqueName="[Products_Table].[Shipping carriers].[All]" allUniqueName="[Products_Table].[Shipping carriers].[All]" dimensionUniqueName="[Products_Table]" displayFolder="" count="0" memberValueDatatype="130" unbalanced="0"/>
    <cacheHierarchy uniqueName="[Products_Table].[Shipping costs]" caption="Shipping costs" attribute="1" defaultMemberUniqueName="[Products_Table].[Shipping costs].[All]" allUniqueName="[Products_Table].[Shipping costs].[All]" dimensionUniqueName="[Products_Table]" displayFolder="" count="0" memberValueDatatype="5" unbalanced="0"/>
    <cacheHierarchy uniqueName="[Products_Table].[Supplier name]" caption="Supplier name" attribute="1" defaultMemberUniqueName="[Products_Table].[Supplier name].[All]" allUniqueName="[Products_Table].[Supplier name].[All]" dimensionUniqueName="[Products_Table]" displayFolder="" count="0" memberValueDatatype="130" unbalanced="0"/>
    <cacheHierarchy uniqueName="[Products_Table].[Location]" caption="Location" attribute="1" defaultMemberUniqueName="[Products_Table].[Location].[All]" allUniqueName="[Products_Table].[Location].[All]" dimensionUniqueName="[Products_Table]" displayFolder="" count="0" memberValueDatatype="130" unbalanced="0"/>
    <cacheHierarchy uniqueName="[Products_Table].[Lead time]" caption="Lead time" attribute="1" defaultMemberUniqueName="[Products_Table].[Lead time].[All]" allUniqueName="[Products_Table].[Lead time].[All]" dimensionUniqueName="[Products_Table]" displayFolder="" count="0" memberValueDatatype="20" unbalanced="0"/>
    <cacheHierarchy uniqueName="[Products_Table].[Production volumes]" caption="Production volumes" attribute="1" defaultMemberUniqueName="[Products_Table].[Production volumes].[All]" allUniqueName="[Products_Table].[Production volumes].[All]" dimensionUniqueName="[Products_Table]" displayFolder="" count="0" memberValueDatatype="20" unbalanced="0"/>
    <cacheHierarchy uniqueName="[Products_Table].[Manufacturing lead time]" caption="Manufacturing lead time" attribute="1" defaultMemberUniqueName="[Products_Table].[Manufacturing lead time].[All]" allUniqueName="[Products_Table].[Manufacturing lead time].[All]" dimensionUniqueName="[Products_Table]" displayFolder="" count="0" memberValueDatatype="20" unbalanced="0"/>
    <cacheHierarchy uniqueName="[Products_Table].[Manufacturing costs]" caption="Manufacturing costs" attribute="1" defaultMemberUniqueName="[Products_Table].[Manufacturing costs].[All]" allUniqueName="[Products_Table].[Manufacturing costs].[All]" dimensionUniqueName="[Products_Table]" displayFolder="" count="0" memberValueDatatype="5" unbalanced="0"/>
    <cacheHierarchy uniqueName="[Products_Table].[Inspection results]" caption="Inspection results" attribute="1" defaultMemberUniqueName="[Products_Table].[Inspection results].[All]" allUniqueName="[Products_Table].[Inspection results].[All]" dimensionUniqueName="[Products_Table]" displayFolder="" count="0" memberValueDatatype="130" unbalanced="0"/>
    <cacheHierarchy uniqueName="[Products_Table].[Defect rates]" caption="Defect rates" attribute="1" defaultMemberUniqueName="[Products_Table].[Defect rates].[All]" allUniqueName="[Products_Table].[Defect rates].[All]" dimensionUniqueName="[Products_Table]" displayFolder="" count="0" memberValueDatatype="5" unbalanced="0"/>
    <cacheHierarchy uniqueName="[Products_Table].[Transportation modes]" caption="Transportation modes" attribute="1" defaultMemberUniqueName="[Products_Table].[Transportation modes].[All]" allUniqueName="[Products_Table].[Transportation modes].[All]" dimensionUniqueName="[Products_Table]" displayFolder="" count="0" memberValueDatatype="130" unbalanced="0"/>
    <cacheHierarchy uniqueName="[Products_Table].[Routes]" caption="Routes" attribute="1" defaultMemberUniqueName="[Products_Table].[Routes].[All]" allUniqueName="[Products_Table].[Routes].[All]" dimensionUniqueName="[Products_Table]" displayFolder="" count="0" memberValueDatatype="130" unbalanced="0"/>
    <cacheHierarchy uniqueName="[Products_Table].[Costs]" caption="Costs" attribute="1" defaultMemberUniqueName="[Products_Table].[Costs].[All]" allUniqueName="[Products_Table].[Costs].[All]" dimensionUniqueName="[Products_Table]" displayFolder="" count="0" memberValueDatatype="5" unbalanced="0"/>
    <cacheHierarchy uniqueName="[Measures].[__XL_Count archive  6]" caption="__XL_Count archive  6" measure="1" displayFolder="" measureGroup="archive  6" count="0" hidden="1"/>
    <cacheHierarchy uniqueName="[Measures].[__XL_Count Products Table]" caption="__XL_Count Products Table" measure="1" displayFolder="" measureGroup="Products 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Sum of Revenue generated]" caption="Sum of Revenue generated" measure="1" displayFolder="" measureGroup="Products Table" count="0" hidden="1">
      <extLst>
        <ext xmlns:x15="http://schemas.microsoft.com/office/spreadsheetml/2010/11/main" uri="{B97F6D7D-B522-45F9-BDA1-12C45D357490}">
          <x15:cacheHierarchy aggregatedColumn="12"/>
        </ext>
      </extLst>
    </cacheHierarchy>
    <cacheHierarchy uniqueName="[Measures].[Sum of Defect rates]" caption="Sum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Average of Defect rates]" caption="Average of Defect rates" measure="1" displayFolder="" measureGroup="Products Table" count="0" hidden="1">
      <extLst>
        <ext xmlns:x15="http://schemas.microsoft.com/office/spreadsheetml/2010/11/main" uri="{B97F6D7D-B522-45F9-BDA1-12C45D357490}">
          <x15:cacheHierarchy aggregatedColumn="27"/>
        </ext>
      </extLst>
    </cacheHierarchy>
    <cacheHierarchy uniqueName="[Measures].[Sum of Shipping costs]" caption="Sum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Average of Shipping costs]" caption="Average of Shipping costs" measure="1" displayFolder="" measureGroup="Products Table" count="0" hidden="1">
      <extLst>
        <ext xmlns:x15="http://schemas.microsoft.com/office/spreadsheetml/2010/11/main" uri="{B97F6D7D-B522-45F9-BDA1-12C45D357490}">
          <x15:cacheHierarchy aggregatedColumn="19"/>
        </ext>
      </extLst>
    </cacheHierarchy>
    <cacheHierarchy uniqueName="[Measures].[Sum of Stock levels]" caption="Sum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Number of products sold]" caption="Sum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Number of products sold]" caption="Average of Number of products sold" measure="1" displayFolder="" measureGroup="Products Table" count="0" hidden="1">
      <extLst>
        <ext xmlns:x15="http://schemas.microsoft.com/office/spreadsheetml/2010/11/main" uri="{B97F6D7D-B522-45F9-BDA1-12C45D357490}">
          <x15:cacheHierarchy aggregatedColumn="11"/>
        </ext>
      </extLst>
    </cacheHierarchy>
    <cacheHierarchy uniqueName="[Measures].[Average of Stock levels]" caption="Average of Stock levels" measure="1" displayFolder="" measureGroup="Products Table" count="0" hidden="1">
      <extLst>
        <ext xmlns:x15="http://schemas.microsoft.com/office/spreadsheetml/2010/11/main" uri="{B97F6D7D-B522-45F9-BDA1-12C45D357490}">
          <x15:cacheHierarchy aggregatedColumn="14"/>
        </ext>
      </extLst>
    </cacheHierarchy>
    <cacheHierarchy uniqueName="[Measures].[Sum of Manufacturing costs]" caption="Sum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Average of Manufacturing costs]" caption="Average of Manufacturing costs" measure="1" displayFolder="" measureGroup="Products Table" count="0" hidden="1">
      <extLst>
        <ext xmlns:x15="http://schemas.microsoft.com/office/spreadsheetml/2010/11/main" uri="{B97F6D7D-B522-45F9-BDA1-12C45D357490}">
          <x15:cacheHierarchy aggregatedColumn="25"/>
        </ext>
      </extLst>
    </cacheHierarchy>
    <cacheHierarchy uniqueName="[Measures].[Count of Inspection results]" caption="Count of Inspection results" measure="1" displayFolder="" measureGroup="Products Table" count="0" hidden="1">
      <extLst>
        <ext xmlns:x15="http://schemas.microsoft.com/office/spreadsheetml/2010/11/main" uri="{B97F6D7D-B522-45F9-BDA1-12C45D357490}">
          <x15:cacheHierarchy aggregatedColumn="26"/>
        </ext>
      </extLst>
    </cacheHierarchy>
    <cacheHierarchy uniqueName="[Measures].[Count of SKU]" caption="Count of SKU" measure="1" displayFolder="" measureGroup="Products Table" count="0" hidden="1">
      <extLst>
        <ext xmlns:x15="http://schemas.microsoft.com/office/spreadsheetml/2010/11/main" uri="{B97F6D7D-B522-45F9-BDA1-12C45D357490}">
          <x15:cacheHierarchy aggregatedColumn="8"/>
        </ext>
      </extLst>
    </cacheHierarchy>
    <cacheHierarchy uniqueName="[Measures].[Sum of Stock levels 2]" caption="Sum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Average of Stock levels 2]" caption="Average of Stock levels 2" measure="1" displayFolder="" measureGroup="Products_Table" count="0" hidden="1">
      <extLst>
        <ext xmlns:x15="http://schemas.microsoft.com/office/spreadsheetml/2010/11/main" uri="{B97F6D7D-B522-45F9-BDA1-12C45D357490}">
          <x15:cacheHierarchy aggregatedColumn="38"/>
        </ext>
      </extLst>
    </cacheHierarchy>
    <cacheHierarchy uniqueName="[Measures].[Sum of Lead time]" caption="Sum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Average of Lead time]" caption="Average of Lead time" measure="1" displayFolder="" measureGroup="Products_Table" count="0" hidden="1">
      <extLst>
        <ext xmlns:x15="http://schemas.microsoft.com/office/spreadsheetml/2010/11/main" uri="{B97F6D7D-B522-45F9-BDA1-12C45D357490}">
          <x15:cacheHierarchy aggregatedColumn="46"/>
        </ext>
      </extLst>
    </cacheHierarchy>
    <cacheHierarchy uniqueName="[Measures].[Sum of Production volumes]" caption="Sum of Production volumes" measure="1" displayFolder="" measureGroup="Products Table"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7187066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A2B0D0-446F-4B59-8DE4-9F2387EBC570}" name="PT1" cacheId="3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 generated"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E3C576-0D1D-4242-BC3F-B31EDDBA8B82}" name="Average Defect Rate by Supplier" cacheId="3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efect rates" fld="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efect rat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003666-A6A6-4EC3-8274-14D60DD6E1C6}" name="Average Shipping Cost by Transport Mode" cacheId="3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Shipping costs" fld="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hipping cos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F1BCB7-2352-4D28-9514-E670524B966F}" name="Stock Levels vs Products Sold" cacheId="3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Average of Stock levels" fld="2" subtotal="average" baseField="0" baseItem="0"/>
    <dataField name="Sum of Number of products sold" fld="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Number of products sold"/>
    <pivotHierarchy dragToData="1" caption="Average of Number of products sold"/>
    <pivotHierarchy dragToData="1" caption="Average of Stock level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31B906-E23A-42C9-BC99-1B70FFCD8FD0}" name="Manufacturing Cost vs Revenue by Product"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Average of Manufacturing costs" fld="2" subtotal="average" baseField="0" baseItem="0"/>
    <dataField name="Sum of Revenue generated"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nufacturing cost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DC716E-FACB-4C57-BC12-9731D429D5FB}" name="Inspection Results by Product Type" cacheId="3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13">
    <i>
      <x/>
    </i>
    <i r="1">
      <x/>
    </i>
    <i r="1">
      <x v="1"/>
    </i>
    <i r="1">
      <x v="2"/>
    </i>
    <i>
      <x v="1"/>
    </i>
    <i r="1">
      <x/>
    </i>
    <i r="1">
      <x v="1"/>
    </i>
    <i r="1">
      <x v="2"/>
    </i>
    <i>
      <x v="2"/>
    </i>
    <i r="1">
      <x/>
    </i>
    <i r="1">
      <x v="1"/>
    </i>
    <i r="1">
      <x v="2"/>
    </i>
    <i t="grand">
      <x/>
    </i>
  </rowItems>
  <colItems count="1">
    <i/>
  </colItems>
  <dataFields count="1">
    <dataField name="Count of SKU"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93BB52-5EF3-427B-8DB9-6AFE301CA791}" name="Average Stock Level by Product Type" cacheId="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Stock levels" fld="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tock level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9D7121-C8C9-49C6-9571-2B6CFD25D039}" name="Orders by Shipping Carrier" cacheId="3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Shipping costs" fld="1" subtotal="average" baseField="0" baseItem="0"/>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hipping cos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6C6032-CAD0-4B87-85AE-E44ECA1E70EA}" name="Average Lead Time by Supplier" cacheId="3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Lead time" fld="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Lead time"/>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6394CC-1C91-407D-B303-D701F20C2BD4}" name="Production Volume by Supplier" cacheId="3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duction volum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D3EE622-EC68-4A11-9000-798864009BE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archive (6)"/>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CF813EF-A351-487B-806F-A4A04708E2F5}" autoFormatId="16" applyNumberFormats="0" applyBorderFormats="0" applyFontFormats="0" applyPatternFormats="0" applyAlignmentFormats="0" applyWidthHeightFormats="0">
  <queryTableRefresh nextId="25">
    <queryTableFields count="24">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Refresh>
  <extLst>
    <ext xmlns:x15="http://schemas.microsoft.com/office/spreadsheetml/2010/11/main" uri="{883FBD77-0823-4a55-B5E3-86C4891E6966}">
      <x15:queryTable sourceDataName="Query - Products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A344A577-E86F-4B13-89A2-41050E073176}" sourceName="[Products Table].[Product type]">
  <pivotTables>
    <pivotTable tabId="1" name="PT1"/>
    <pivotTable tabId="7" name="Manufacturing Cost vs Revenue by Product"/>
    <pivotTable tabId="12" name="Production Volume by Supplier"/>
    <pivotTable tabId="9" name="Average Stock Level by Product Type"/>
    <pivotTable tabId="4" name="Average Defect Rate by Supplier"/>
    <pivotTable tabId="8" name="Inspection Results by Product Type"/>
    <pivotTable tabId="11" name="Average Lead Time by Supplier"/>
    <pivotTable tabId="5" name="Average Shipping Cost by Transport Mode"/>
    <pivotTable tabId="10" name="Orders by Shipping Carrier"/>
    <pivotTable tabId="6" name="Stock Levels vs Products Sold"/>
  </pivotTables>
  <data>
    <olap pivotCacheId="718706657">
      <levels count="2">
        <level uniqueName="[Products Table].[Product type].[(All)]" sourceCaption="(All)" count="0"/>
        <level uniqueName="[Products Table].[Product type].[Product type]" sourceCaption="Product type" count="3">
          <ranges>
            <range startItem="0">
              <i n="[Products Table].[Product type].&amp;[cosmetics]" c="cosmetics"/>
              <i n="[Products Table].[Product type].&amp;[haircare]" c="haircare"/>
              <i n="[Products Table].[Product type].&amp;[skincare]" c="skincare"/>
            </range>
          </ranges>
        </level>
      </levels>
      <selections count="1">
        <selection n="[Products Table].[Produc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63A2ED1A-B741-41D0-95AD-743771BDCD17}" cache="Slicer_Product_type" caption="Product typ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9E8F7A-5E98-4CD1-87FB-BF3AD959AB91}" name="archive__6" displayName="archive__6" ref="A1:F2" tableType="queryTable" totalsRowShown="0">
  <autoFilter ref="A1:F2" xr:uid="{5A9E8F7A-5E98-4CD1-87FB-BF3AD959AB91}"/>
  <tableColumns count="6">
    <tableColumn id="1" xr3:uid="{E1A382B3-FF81-463E-A264-6BE0634FDB22}" uniqueName="1" name="Name" queryTableFieldId="1" dataDxfId="14"/>
    <tableColumn id="2" xr3:uid="{EF34ACB6-7479-4ADD-BEAF-53C2E7C696E2}" uniqueName="2" name="Extension" queryTableFieldId="2" dataDxfId="13"/>
    <tableColumn id="3" xr3:uid="{32F7E1C1-A215-4D48-9F7C-098776D597E2}" uniqueName="3" name="Date accessed" queryTableFieldId="3" dataDxfId="12"/>
    <tableColumn id="4" xr3:uid="{1CE3690A-F2EB-4BE8-95B1-F2D812B38D9C}" uniqueName="4" name="Date modified" queryTableFieldId="4" dataDxfId="11"/>
    <tableColumn id="5" xr3:uid="{F63FCA6B-50F1-4D8A-964A-4228D350D688}" uniqueName="5" name="Date created" queryTableFieldId="5" dataDxfId="10"/>
    <tableColumn id="6" xr3:uid="{2016D076-C607-4DCB-A61A-27BB8B649E77}" uniqueName="6" name="Folder Path" queryTableFieldId="6"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5CD40F-9BDC-4AEE-BAF4-BEC770212716}" name="Products_Table" displayName="Products_Table" ref="A1:X101" tableType="queryTable" totalsRowShown="0">
  <autoFilter ref="A1:X101" xr:uid="{CF5CD40F-9BDC-4AEE-BAF4-BEC770212716}"/>
  <tableColumns count="24">
    <tableColumn id="1" xr3:uid="{EA233111-D43E-4042-8863-B6B8CCC7E2CD}" uniqueName="1" name="Product type" queryTableFieldId="1" dataDxfId="8"/>
    <tableColumn id="2" xr3:uid="{28469E37-611A-402B-9216-37ADF87E8BE6}" uniqueName="2" name="SKU" queryTableFieldId="2" dataDxfId="7"/>
    <tableColumn id="3" xr3:uid="{D8EC9C6B-05F3-4609-A081-7D91687BF038}" uniqueName="3" name="Price" queryTableFieldId="3"/>
    <tableColumn id="4" xr3:uid="{7AB3E0D3-6E47-4F6D-93FB-6C78CB2DAF31}" uniqueName="4" name="Availability" queryTableFieldId="4"/>
    <tableColumn id="5" xr3:uid="{CC181741-6FBD-4E2F-9CE3-DA72DB095DA9}" uniqueName="5" name="Number of products sold" queryTableFieldId="5"/>
    <tableColumn id="6" xr3:uid="{38B2E457-DA6A-461D-ADA4-2835154ACF2E}" uniqueName="6" name="Revenue generated" queryTableFieldId="6"/>
    <tableColumn id="7" xr3:uid="{2CF7F105-1183-4346-8420-A5C49F38AF47}" uniqueName="7" name="Customer demographics" queryTableFieldId="7" dataDxfId="6"/>
    <tableColumn id="8" xr3:uid="{DEA362A3-C97F-4919-9698-506AFE4605FD}" uniqueName="8" name="Stock levels" queryTableFieldId="8"/>
    <tableColumn id="9" xr3:uid="{41BB448A-72D3-4EFD-9C1D-A0C9D2010365}" uniqueName="9" name="Lead times" queryTableFieldId="9"/>
    <tableColumn id="10" xr3:uid="{4D8695F7-D8D2-4CEE-A22C-F5225D647DD8}" uniqueName="10" name="Order quantities" queryTableFieldId="10"/>
    <tableColumn id="11" xr3:uid="{E4F3931F-4ED4-42DA-9F67-4E5B85B4EAD3}" uniqueName="11" name="Shipping times" queryTableFieldId="11"/>
    <tableColumn id="12" xr3:uid="{18E7378A-1B1D-4049-B10D-639FC7100347}" uniqueName="12" name="Shipping carriers" queryTableFieldId="12" dataDxfId="5"/>
    <tableColumn id="13" xr3:uid="{9E8EE355-52BA-4465-A8D4-FABA429EB75D}" uniqueName="13" name="Shipping costs" queryTableFieldId="13"/>
    <tableColumn id="14" xr3:uid="{51C790CD-753F-4699-A480-026EF778DA0D}" uniqueName="14" name="Supplier name" queryTableFieldId="14" dataDxfId="4"/>
    <tableColumn id="15" xr3:uid="{012ED844-2A1F-43A1-93D4-4D74F1EE1F08}" uniqueName="15" name="Location" queryTableFieldId="15" dataDxfId="3"/>
    <tableColumn id="16" xr3:uid="{CDDF9BF4-9487-48E0-8032-01662BA0DE61}" uniqueName="16" name="Lead time" queryTableFieldId="16"/>
    <tableColumn id="17" xr3:uid="{FC97D33D-451A-4F41-A10B-F856F41CC5C8}" uniqueName="17" name="Production volumes" queryTableFieldId="17"/>
    <tableColumn id="18" xr3:uid="{D2940A04-28BB-4DAC-95F4-1DADBA1D824B}" uniqueName="18" name="Manufacturing lead time" queryTableFieldId="18"/>
    <tableColumn id="19" xr3:uid="{3AA3E355-D807-4709-8DC7-41B05C766AE9}" uniqueName="19" name="Manufacturing costs" queryTableFieldId="19"/>
    <tableColumn id="20" xr3:uid="{BB199829-4602-4A97-8D72-850E2E9068EA}" uniqueName="20" name="Inspection results" queryTableFieldId="20" dataDxfId="2"/>
    <tableColumn id="21" xr3:uid="{5E016B31-D1F2-415C-9340-96B14ABCF522}" uniqueName="21" name="Defect rates" queryTableFieldId="21"/>
    <tableColumn id="22" xr3:uid="{9D0CB8F0-FD54-4E88-A0F3-1BFE3BD1B757}" uniqueName="22" name="Transportation modes" queryTableFieldId="22" dataDxfId="1"/>
    <tableColumn id="23" xr3:uid="{4084BE35-AE45-49DC-9870-0B85AB975F7A}" uniqueName="23" name="Routes" queryTableFieldId="23" dataDxfId="0"/>
    <tableColumn id="24" xr3:uid="{DEB84354-B8BA-43DA-8429-8E3F7DF1AA73}" uniqueName="24" name="Costs"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B61F6-F7D4-4BAE-AC01-3B1BE7FFC81E}">
  <dimension ref="A1:F2"/>
  <sheetViews>
    <sheetView workbookViewId="0">
      <selection sqref="A1:F2"/>
    </sheetView>
  </sheetViews>
  <sheetFormatPr defaultRowHeight="15" x14ac:dyDescent="0.25"/>
  <cols>
    <col min="1" max="1" width="21.42578125" bestFit="1" customWidth="1"/>
    <col min="2" max="2" width="12.28515625" bestFit="1" customWidth="1"/>
    <col min="3" max="3" width="16.5703125" bestFit="1" customWidth="1"/>
    <col min="4" max="4" width="16.28515625" bestFit="1" customWidth="1"/>
    <col min="5" max="5" width="15.5703125" bestFit="1" customWidth="1"/>
    <col min="6" max="6" width="37.5703125" bestFit="1" customWidth="1"/>
  </cols>
  <sheetData>
    <row r="1" spans="1:6" x14ac:dyDescent="0.25">
      <c r="A1" t="s">
        <v>0</v>
      </c>
      <c r="B1" t="s">
        <v>1</v>
      </c>
      <c r="C1" t="s">
        <v>2</v>
      </c>
      <c r="D1" t="s">
        <v>3</v>
      </c>
      <c r="E1" t="s">
        <v>4</v>
      </c>
      <c r="F1" t="s">
        <v>5</v>
      </c>
    </row>
    <row r="2" spans="1:6" x14ac:dyDescent="0.25">
      <c r="A2" s="1" t="s">
        <v>6</v>
      </c>
      <c r="B2" s="1" t="s">
        <v>7</v>
      </c>
      <c r="C2" s="2">
        <v>46153.095669868824</v>
      </c>
      <c r="D2" s="2">
        <v>46153.095640933643</v>
      </c>
      <c r="E2" s="2">
        <v>45038.980879629627</v>
      </c>
      <c r="F2"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8357E-10DF-4201-B8DE-0BFBDEA03A69}">
  <dimension ref="A1:X101"/>
  <sheetViews>
    <sheetView workbookViewId="0">
      <selection activeCell="E8" sqref="E8"/>
    </sheetView>
  </sheetViews>
  <sheetFormatPr defaultRowHeight="15" x14ac:dyDescent="0.25"/>
  <cols>
    <col min="1" max="1" width="14.7109375" bestFit="1" customWidth="1"/>
    <col min="2" max="2" width="6.85546875" bestFit="1" customWidth="1"/>
    <col min="3" max="3" width="12" bestFit="1" customWidth="1"/>
    <col min="4" max="4" width="13.140625" bestFit="1" customWidth="1"/>
    <col min="5" max="5" width="26" bestFit="1" customWidth="1"/>
    <col min="6" max="6" width="21.140625" bestFit="1" customWidth="1"/>
    <col min="7" max="7" width="25.85546875" bestFit="1" customWidth="1"/>
    <col min="8" max="8" width="14.140625" bestFit="1" customWidth="1"/>
    <col min="9" max="9" width="13.140625" bestFit="1" customWidth="1"/>
    <col min="10" max="10" width="18.140625" bestFit="1" customWidth="1"/>
    <col min="11" max="11" width="16.85546875" bestFit="1" customWidth="1"/>
    <col min="12" max="12" width="18.5703125" bestFit="1" customWidth="1"/>
    <col min="13" max="13" width="16.5703125" bestFit="1" customWidth="1"/>
    <col min="14" max="14" width="16.42578125" bestFit="1" customWidth="1"/>
    <col min="15" max="15" width="11" bestFit="1" customWidth="1"/>
    <col min="16" max="16" width="12.140625" bestFit="1" customWidth="1"/>
    <col min="17" max="17" width="21.5703125" bestFit="1" customWidth="1"/>
    <col min="18" max="18" width="25.42578125" bestFit="1" customWidth="1"/>
    <col min="19" max="19" width="21.7109375" bestFit="1" customWidth="1"/>
    <col min="20" max="20" width="19.85546875" bestFit="1" customWidth="1"/>
    <col min="21" max="21" width="14.42578125" bestFit="1" customWidth="1"/>
    <col min="22" max="22" width="23.28515625" bestFit="1" customWidth="1"/>
    <col min="23" max="23" width="9.7109375" bestFit="1" customWidth="1"/>
    <col min="24" max="24" width="12" bestFit="1" customWidth="1"/>
  </cols>
  <sheetData>
    <row r="1" spans="1:24" x14ac:dyDescent="0.25">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c r="W1" t="s">
        <v>31</v>
      </c>
      <c r="X1" t="s">
        <v>32</v>
      </c>
    </row>
    <row r="2" spans="1:24" x14ac:dyDescent="0.25">
      <c r="A2" s="1" t="s">
        <v>33</v>
      </c>
      <c r="B2" s="1" t="s">
        <v>34</v>
      </c>
      <c r="C2">
        <v>69.808005542115765</v>
      </c>
      <c r="D2">
        <v>55</v>
      </c>
      <c r="E2">
        <v>802</v>
      </c>
      <c r="F2">
        <v>8661.9967923923832</v>
      </c>
      <c r="G2" s="1" t="s">
        <v>35</v>
      </c>
      <c r="H2">
        <v>58</v>
      </c>
      <c r="I2">
        <v>7</v>
      </c>
      <c r="J2">
        <v>96</v>
      </c>
      <c r="K2">
        <v>4</v>
      </c>
      <c r="L2" s="1" t="s">
        <v>36</v>
      </c>
      <c r="M2">
        <v>2.9565721394308069</v>
      </c>
      <c r="N2" s="1" t="s">
        <v>37</v>
      </c>
      <c r="O2" s="1" t="s">
        <v>38</v>
      </c>
      <c r="P2">
        <v>29</v>
      </c>
      <c r="Q2">
        <v>215</v>
      </c>
      <c r="R2">
        <v>29</v>
      </c>
      <c r="S2">
        <v>46.279879240508322</v>
      </c>
      <c r="T2" s="1" t="s">
        <v>39</v>
      </c>
      <c r="U2">
        <v>0.22641036084992516</v>
      </c>
      <c r="V2" s="1" t="s">
        <v>40</v>
      </c>
      <c r="W2" s="1" t="s">
        <v>41</v>
      </c>
      <c r="X2">
        <v>187.75207545920392</v>
      </c>
    </row>
    <row r="3" spans="1:24" x14ac:dyDescent="0.25">
      <c r="A3" s="1" t="s">
        <v>42</v>
      </c>
      <c r="B3" s="1" t="s">
        <v>43</v>
      </c>
      <c r="C3">
        <v>14.843523275084339</v>
      </c>
      <c r="D3">
        <v>95</v>
      </c>
      <c r="E3">
        <v>736</v>
      </c>
      <c r="F3">
        <v>7460.9000654458487</v>
      </c>
      <c r="G3" s="1" t="s">
        <v>44</v>
      </c>
      <c r="H3">
        <v>53</v>
      </c>
      <c r="I3">
        <v>30</v>
      </c>
      <c r="J3">
        <v>37</v>
      </c>
      <c r="K3">
        <v>2</v>
      </c>
      <c r="L3" s="1" t="s">
        <v>45</v>
      </c>
      <c r="M3">
        <v>9.7165747714313095</v>
      </c>
      <c r="N3" s="1" t="s">
        <v>37</v>
      </c>
      <c r="O3" s="1" t="s">
        <v>38</v>
      </c>
      <c r="P3">
        <v>23</v>
      </c>
      <c r="Q3">
        <v>517</v>
      </c>
      <c r="R3">
        <v>30</v>
      </c>
      <c r="S3">
        <v>33.616768953730002</v>
      </c>
      <c r="T3" s="1" t="s">
        <v>39</v>
      </c>
      <c r="U3">
        <v>4.8540680263887062</v>
      </c>
      <c r="V3" s="1" t="s">
        <v>40</v>
      </c>
      <c r="W3" s="1" t="s">
        <v>41</v>
      </c>
      <c r="X3">
        <v>503.06557914966919</v>
      </c>
    </row>
    <row r="4" spans="1:24" x14ac:dyDescent="0.25">
      <c r="A4" s="1" t="s">
        <v>33</v>
      </c>
      <c r="B4" s="1" t="s">
        <v>46</v>
      </c>
      <c r="C4">
        <v>11.319683293090566</v>
      </c>
      <c r="D4">
        <v>34</v>
      </c>
      <c r="E4">
        <v>8</v>
      </c>
      <c r="F4">
        <v>9577.7496258687297</v>
      </c>
      <c r="G4" s="1" t="s">
        <v>47</v>
      </c>
      <c r="H4">
        <v>1</v>
      </c>
      <c r="I4">
        <v>10</v>
      </c>
      <c r="J4">
        <v>88</v>
      </c>
      <c r="K4">
        <v>2</v>
      </c>
      <c r="L4" s="1" t="s">
        <v>36</v>
      </c>
      <c r="M4">
        <v>8.0544792617321548</v>
      </c>
      <c r="N4" s="1" t="s">
        <v>48</v>
      </c>
      <c r="O4" s="1" t="s">
        <v>38</v>
      </c>
      <c r="P4">
        <v>12</v>
      </c>
      <c r="Q4">
        <v>971</v>
      </c>
      <c r="R4">
        <v>27</v>
      </c>
      <c r="S4">
        <v>30.688019348284204</v>
      </c>
      <c r="T4" s="1" t="s">
        <v>39</v>
      </c>
      <c r="U4">
        <v>4.580592619199229</v>
      </c>
      <c r="V4" s="1" t="s">
        <v>49</v>
      </c>
      <c r="W4" s="1" t="s">
        <v>50</v>
      </c>
      <c r="X4">
        <v>141.92028177151906</v>
      </c>
    </row>
    <row r="5" spans="1:24" x14ac:dyDescent="0.25">
      <c r="A5" s="1" t="s">
        <v>42</v>
      </c>
      <c r="B5" s="1" t="s">
        <v>51</v>
      </c>
      <c r="C5">
        <v>61.163343016437736</v>
      </c>
      <c r="D5">
        <v>68</v>
      </c>
      <c r="E5">
        <v>83</v>
      </c>
      <c r="F5">
        <v>7766.8364256852328</v>
      </c>
      <c r="G5" s="1" t="s">
        <v>35</v>
      </c>
      <c r="H5">
        <v>23</v>
      </c>
      <c r="I5">
        <v>13</v>
      </c>
      <c r="J5">
        <v>59</v>
      </c>
      <c r="K5">
        <v>6</v>
      </c>
      <c r="L5" s="1" t="s">
        <v>52</v>
      </c>
      <c r="M5">
        <v>1.7295685635434288</v>
      </c>
      <c r="N5" s="1" t="s">
        <v>53</v>
      </c>
      <c r="O5" s="1" t="s">
        <v>54</v>
      </c>
      <c r="P5">
        <v>24</v>
      </c>
      <c r="Q5">
        <v>937</v>
      </c>
      <c r="R5">
        <v>18</v>
      </c>
      <c r="S5">
        <v>35.624741397125028</v>
      </c>
      <c r="T5" s="1" t="s">
        <v>55</v>
      </c>
      <c r="U5">
        <v>4.7466486206477496</v>
      </c>
      <c r="V5" s="1" t="s">
        <v>56</v>
      </c>
      <c r="W5" s="1" t="s">
        <v>57</v>
      </c>
      <c r="X5">
        <v>254.77615921928663</v>
      </c>
    </row>
    <row r="6" spans="1:24" x14ac:dyDescent="0.25">
      <c r="A6" s="1" t="s">
        <v>42</v>
      </c>
      <c r="B6" s="1" t="s">
        <v>58</v>
      </c>
      <c r="C6">
        <v>4.8054960363458932</v>
      </c>
      <c r="D6">
        <v>26</v>
      </c>
      <c r="E6">
        <v>871</v>
      </c>
      <c r="F6">
        <v>2686.5051515674468</v>
      </c>
      <c r="G6" s="1" t="s">
        <v>35</v>
      </c>
      <c r="H6">
        <v>5</v>
      </c>
      <c r="I6">
        <v>3</v>
      </c>
      <c r="J6">
        <v>56</v>
      </c>
      <c r="K6">
        <v>8</v>
      </c>
      <c r="L6" s="1" t="s">
        <v>45</v>
      </c>
      <c r="M6">
        <v>3.8905479158706715</v>
      </c>
      <c r="N6" s="1" t="s">
        <v>48</v>
      </c>
      <c r="O6" s="1" t="s">
        <v>59</v>
      </c>
      <c r="P6">
        <v>5</v>
      </c>
      <c r="Q6">
        <v>414</v>
      </c>
      <c r="R6">
        <v>3</v>
      </c>
      <c r="S6">
        <v>92.065160598712851</v>
      </c>
      <c r="T6" s="1" t="s">
        <v>55</v>
      </c>
      <c r="U6">
        <v>3.1455795228330019</v>
      </c>
      <c r="V6" s="1" t="s">
        <v>49</v>
      </c>
      <c r="W6" s="1" t="s">
        <v>57</v>
      </c>
      <c r="X6">
        <v>923.44063171192215</v>
      </c>
    </row>
    <row r="7" spans="1:24" x14ac:dyDescent="0.25">
      <c r="A7" s="1" t="s">
        <v>33</v>
      </c>
      <c r="B7" s="1" t="s">
        <v>60</v>
      </c>
      <c r="C7">
        <v>1.6999760138659377</v>
      </c>
      <c r="D7">
        <v>87</v>
      </c>
      <c r="E7">
        <v>147</v>
      </c>
      <c r="F7">
        <v>2828.3487459757589</v>
      </c>
      <c r="G7" s="1" t="s">
        <v>35</v>
      </c>
      <c r="H7">
        <v>90</v>
      </c>
      <c r="I7">
        <v>27</v>
      </c>
      <c r="J7">
        <v>66</v>
      </c>
      <c r="K7">
        <v>3</v>
      </c>
      <c r="L7" s="1" t="s">
        <v>36</v>
      </c>
      <c r="M7">
        <v>4.4440988643822932</v>
      </c>
      <c r="N7" s="1" t="s">
        <v>61</v>
      </c>
      <c r="O7" s="1" t="s">
        <v>62</v>
      </c>
      <c r="P7">
        <v>10</v>
      </c>
      <c r="Q7">
        <v>104</v>
      </c>
      <c r="R7">
        <v>17</v>
      </c>
      <c r="S7">
        <v>56.766475557431797</v>
      </c>
      <c r="T7" s="1" t="s">
        <v>55</v>
      </c>
      <c r="U7">
        <v>2.7791935115711617</v>
      </c>
      <c r="V7" s="1" t="s">
        <v>40</v>
      </c>
      <c r="W7" s="1" t="s">
        <v>57</v>
      </c>
      <c r="X7">
        <v>235.46123673553751</v>
      </c>
    </row>
    <row r="8" spans="1:24" x14ac:dyDescent="0.25">
      <c r="A8" s="1" t="s">
        <v>42</v>
      </c>
      <c r="B8" s="1" t="s">
        <v>63</v>
      </c>
      <c r="C8">
        <v>4.0783328631079447</v>
      </c>
      <c r="D8">
        <v>48</v>
      </c>
      <c r="E8">
        <v>65</v>
      </c>
      <c r="F8">
        <v>7823.4765595317367</v>
      </c>
      <c r="G8" s="1" t="s">
        <v>64</v>
      </c>
      <c r="H8">
        <v>11</v>
      </c>
      <c r="I8">
        <v>15</v>
      </c>
      <c r="J8">
        <v>58</v>
      </c>
      <c r="K8">
        <v>8</v>
      </c>
      <c r="L8" s="1" t="s">
        <v>52</v>
      </c>
      <c r="M8">
        <v>3.8807633029520034</v>
      </c>
      <c r="N8" s="1" t="s">
        <v>37</v>
      </c>
      <c r="O8" s="1" t="s">
        <v>54</v>
      </c>
      <c r="P8">
        <v>14</v>
      </c>
      <c r="Q8">
        <v>314</v>
      </c>
      <c r="R8">
        <v>24</v>
      </c>
      <c r="S8">
        <v>1.0850685695870688</v>
      </c>
      <c r="T8" s="1" t="s">
        <v>39</v>
      </c>
      <c r="U8">
        <v>1.0009106193041357</v>
      </c>
      <c r="V8" s="1" t="s">
        <v>65</v>
      </c>
      <c r="W8" s="1" t="s">
        <v>57</v>
      </c>
      <c r="X8">
        <v>134.36909686103172</v>
      </c>
    </row>
    <row r="9" spans="1:24" x14ac:dyDescent="0.25">
      <c r="A9" s="1" t="s">
        <v>66</v>
      </c>
      <c r="B9" s="1" t="s">
        <v>67</v>
      </c>
      <c r="C9">
        <v>42.958384382460068</v>
      </c>
      <c r="D9">
        <v>59</v>
      </c>
      <c r="E9">
        <v>426</v>
      </c>
      <c r="F9">
        <v>8496.1038130898378</v>
      </c>
      <c r="G9" s="1" t="s">
        <v>44</v>
      </c>
      <c r="H9">
        <v>93</v>
      </c>
      <c r="I9">
        <v>17</v>
      </c>
      <c r="J9">
        <v>11</v>
      </c>
      <c r="K9">
        <v>1</v>
      </c>
      <c r="L9" s="1" t="s">
        <v>36</v>
      </c>
      <c r="M9">
        <v>2.3483387844177805</v>
      </c>
      <c r="N9" s="1" t="s">
        <v>61</v>
      </c>
      <c r="O9" s="1" t="s">
        <v>62</v>
      </c>
      <c r="P9">
        <v>22</v>
      </c>
      <c r="Q9">
        <v>564</v>
      </c>
      <c r="R9">
        <v>1</v>
      </c>
      <c r="S9">
        <v>99.466108603599125</v>
      </c>
      <c r="T9" s="1" t="s">
        <v>55</v>
      </c>
      <c r="U9">
        <v>0.39817718685065062</v>
      </c>
      <c r="V9" s="1" t="s">
        <v>40</v>
      </c>
      <c r="W9" s="1" t="s">
        <v>50</v>
      </c>
      <c r="X9">
        <v>802.05631181755859</v>
      </c>
    </row>
    <row r="10" spans="1:24" x14ac:dyDescent="0.25">
      <c r="A10" s="1" t="s">
        <v>66</v>
      </c>
      <c r="B10" s="1" t="s">
        <v>68</v>
      </c>
      <c r="C10">
        <v>68.717596748527328</v>
      </c>
      <c r="D10">
        <v>78</v>
      </c>
      <c r="E10">
        <v>150</v>
      </c>
      <c r="F10">
        <v>7517.363210631127</v>
      </c>
      <c r="G10" s="1" t="s">
        <v>44</v>
      </c>
      <c r="H10">
        <v>5</v>
      </c>
      <c r="I10">
        <v>10</v>
      </c>
      <c r="J10">
        <v>15</v>
      </c>
      <c r="K10">
        <v>7</v>
      </c>
      <c r="L10" s="1" t="s">
        <v>52</v>
      </c>
      <c r="M10">
        <v>3.4047338570830266</v>
      </c>
      <c r="N10" s="1" t="s">
        <v>61</v>
      </c>
      <c r="O10" s="1" t="s">
        <v>38</v>
      </c>
      <c r="P10">
        <v>13</v>
      </c>
      <c r="Q10">
        <v>769</v>
      </c>
      <c r="R10">
        <v>8</v>
      </c>
      <c r="S10">
        <v>11.423027139565695</v>
      </c>
      <c r="T10" s="1" t="s">
        <v>39</v>
      </c>
      <c r="U10">
        <v>2.7098626911099615</v>
      </c>
      <c r="V10" s="1" t="s">
        <v>65</v>
      </c>
      <c r="W10" s="1" t="s">
        <v>41</v>
      </c>
      <c r="X10">
        <v>505.55713422546415</v>
      </c>
    </row>
    <row r="11" spans="1:24" x14ac:dyDescent="0.25">
      <c r="A11" s="1" t="s">
        <v>42</v>
      </c>
      <c r="B11" s="1" t="s">
        <v>69</v>
      </c>
      <c r="C11">
        <v>64.015732941278543</v>
      </c>
      <c r="D11">
        <v>35</v>
      </c>
      <c r="E11">
        <v>980</v>
      </c>
      <c r="F11">
        <v>4971.145987585558</v>
      </c>
      <c r="G11" s="1" t="s">
        <v>47</v>
      </c>
      <c r="H11">
        <v>14</v>
      </c>
      <c r="I11">
        <v>27</v>
      </c>
      <c r="J11">
        <v>83</v>
      </c>
      <c r="K11">
        <v>1</v>
      </c>
      <c r="L11" s="1" t="s">
        <v>45</v>
      </c>
      <c r="M11">
        <v>7.1666452910482157</v>
      </c>
      <c r="N11" s="1" t="s">
        <v>70</v>
      </c>
      <c r="O11" s="1" t="s">
        <v>71</v>
      </c>
      <c r="P11">
        <v>29</v>
      </c>
      <c r="Q11">
        <v>963</v>
      </c>
      <c r="R11">
        <v>23</v>
      </c>
      <c r="S11">
        <v>47.95760163495158</v>
      </c>
      <c r="T11" s="1" t="s">
        <v>39</v>
      </c>
      <c r="U11">
        <v>3.8446144787675851</v>
      </c>
      <c r="V11" s="1" t="s">
        <v>56</v>
      </c>
      <c r="W11" s="1" t="s">
        <v>41</v>
      </c>
      <c r="X11">
        <v>995.92946149864167</v>
      </c>
    </row>
    <row r="12" spans="1:24" x14ac:dyDescent="0.25">
      <c r="A12" s="1" t="s">
        <v>42</v>
      </c>
      <c r="B12" s="1" t="s">
        <v>72</v>
      </c>
      <c r="C12">
        <v>15.707795681912138</v>
      </c>
      <c r="D12">
        <v>11</v>
      </c>
      <c r="E12">
        <v>996</v>
      </c>
      <c r="F12">
        <v>2330.9658020919492</v>
      </c>
      <c r="G12" s="1" t="s">
        <v>35</v>
      </c>
      <c r="H12">
        <v>51</v>
      </c>
      <c r="I12">
        <v>13</v>
      </c>
      <c r="J12">
        <v>80</v>
      </c>
      <c r="K12">
        <v>2</v>
      </c>
      <c r="L12" s="1" t="s">
        <v>52</v>
      </c>
      <c r="M12">
        <v>8.6732112112786126</v>
      </c>
      <c r="N12" s="1" t="s">
        <v>53</v>
      </c>
      <c r="O12" s="1" t="s">
        <v>54</v>
      </c>
      <c r="P12">
        <v>18</v>
      </c>
      <c r="Q12">
        <v>830</v>
      </c>
      <c r="R12">
        <v>5</v>
      </c>
      <c r="S12">
        <v>96.52735278531091</v>
      </c>
      <c r="T12" s="1" t="s">
        <v>73</v>
      </c>
      <c r="U12">
        <v>1.7273139283559424</v>
      </c>
      <c r="V12" s="1" t="s">
        <v>40</v>
      </c>
      <c r="W12" s="1" t="s">
        <v>41</v>
      </c>
      <c r="X12">
        <v>806.10317770292295</v>
      </c>
    </row>
    <row r="13" spans="1:24" x14ac:dyDescent="0.25">
      <c r="A13" s="1" t="s">
        <v>42</v>
      </c>
      <c r="B13" s="1" t="s">
        <v>74</v>
      </c>
      <c r="C13">
        <v>90.635459982288666</v>
      </c>
      <c r="D13">
        <v>95</v>
      </c>
      <c r="E13">
        <v>960</v>
      </c>
      <c r="F13">
        <v>6099.944115581452</v>
      </c>
      <c r="G13" s="1" t="s">
        <v>44</v>
      </c>
      <c r="H13">
        <v>46</v>
      </c>
      <c r="I13">
        <v>23</v>
      </c>
      <c r="J13">
        <v>60</v>
      </c>
      <c r="K13">
        <v>1</v>
      </c>
      <c r="L13" s="1" t="s">
        <v>45</v>
      </c>
      <c r="M13">
        <v>4.5239431243166628</v>
      </c>
      <c r="N13" s="1" t="s">
        <v>70</v>
      </c>
      <c r="O13" s="1" t="s">
        <v>54</v>
      </c>
      <c r="P13">
        <v>28</v>
      </c>
      <c r="Q13">
        <v>362</v>
      </c>
      <c r="R13">
        <v>11</v>
      </c>
      <c r="S13">
        <v>27.592363086663696</v>
      </c>
      <c r="T13" s="1" t="s">
        <v>39</v>
      </c>
      <c r="U13">
        <v>2.1169821372994391E-2</v>
      </c>
      <c r="V13" s="1" t="s">
        <v>49</v>
      </c>
      <c r="W13" s="1" t="s">
        <v>57</v>
      </c>
      <c r="X13">
        <v>126.72303340940725</v>
      </c>
    </row>
    <row r="14" spans="1:24" x14ac:dyDescent="0.25">
      <c r="A14" s="1" t="s">
        <v>33</v>
      </c>
      <c r="B14" s="1" t="s">
        <v>75</v>
      </c>
      <c r="C14">
        <v>71.213389075360084</v>
      </c>
      <c r="D14">
        <v>41</v>
      </c>
      <c r="E14">
        <v>336</v>
      </c>
      <c r="F14">
        <v>2873.7414460214413</v>
      </c>
      <c r="G14" s="1" t="s">
        <v>47</v>
      </c>
      <c r="H14">
        <v>100</v>
      </c>
      <c r="I14">
        <v>30</v>
      </c>
      <c r="J14">
        <v>85</v>
      </c>
      <c r="K14">
        <v>4</v>
      </c>
      <c r="L14" s="1" t="s">
        <v>45</v>
      </c>
      <c r="M14">
        <v>1.325274010184522</v>
      </c>
      <c r="N14" s="1" t="s">
        <v>61</v>
      </c>
      <c r="O14" s="1" t="s">
        <v>54</v>
      </c>
      <c r="P14">
        <v>3</v>
      </c>
      <c r="Q14">
        <v>563</v>
      </c>
      <c r="R14">
        <v>3</v>
      </c>
      <c r="S14">
        <v>32.321286213424031</v>
      </c>
      <c r="T14" s="1" t="s">
        <v>55</v>
      </c>
      <c r="U14">
        <v>2.1612537475559117</v>
      </c>
      <c r="V14" s="1" t="s">
        <v>40</v>
      </c>
      <c r="W14" s="1" t="s">
        <v>41</v>
      </c>
      <c r="X14">
        <v>402.96878907377061</v>
      </c>
    </row>
    <row r="15" spans="1:24" x14ac:dyDescent="0.25">
      <c r="A15" s="1" t="s">
        <v>42</v>
      </c>
      <c r="B15" s="1" t="s">
        <v>76</v>
      </c>
      <c r="C15">
        <v>16.160393317379977</v>
      </c>
      <c r="D15">
        <v>5</v>
      </c>
      <c r="E15">
        <v>249</v>
      </c>
      <c r="F15">
        <v>4052.7384162378667</v>
      </c>
      <c r="G15" s="1" t="s">
        <v>64</v>
      </c>
      <c r="H15">
        <v>80</v>
      </c>
      <c r="I15">
        <v>8</v>
      </c>
      <c r="J15">
        <v>48</v>
      </c>
      <c r="K15">
        <v>9</v>
      </c>
      <c r="L15" s="1" t="s">
        <v>45</v>
      </c>
      <c r="M15">
        <v>9.5372830611083383</v>
      </c>
      <c r="N15" s="1" t="s">
        <v>53</v>
      </c>
      <c r="O15" s="1" t="s">
        <v>62</v>
      </c>
      <c r="P15">
        <v>23</v>
      </c>
      <c r="Q15">
        <v>173</v>
      </c>
      <c r="R15">
        <v>10</v>
      </c>
      <c r="S15">
        <v>97.82905011017327</v>
      </c>
      <c r="T15" s="1" t="s">
        <v>39</v>
      </c>
      <c r="U15">
        <v>1.6310742300715386</v>
      </c>
      <c r="V15" s="1" t="s">
        <v>40</v>
      </c>
      <c r="W15" s="1" t="s">
        <v>41</v>
      </c>
      <c r="X15">
        <v>547.24100516096848</v>
      </c>
    </row>
    <row r="16" spans="1:24" x14ac:dyDescent="0.25">
      <c r="A16" s="1" t="s">
        <v>42</v>
      </c>
      <c r="B16" s="1" t="s">
        <v>77</v>
      </c>
      <c r="C16">
        <v>99.171328638624189</v>
      </c>
      <c r="D16">
        <v>26</v>
      </c>
      <c r="E16">
        <v>562</v>
      </c>
      <c r="F16">
        <v>8653.5709264698016</v>
      </c>
      <c r="G16" s="1" t="s">
        <v>35</v>
      </c>
      <c r="H16">
        <v>54</v>
      </c>
      <c r="I16">
        <v>29</v>
      </c>
      <c r="J16">
        <v>78</v>
      </c>
      <c r="K16">
        <v>5</v>
      </c>
      <c r="L16" s="1" t="s">
        <v>36</v>
      </c>
      <c r="M16">
        <v>2.0397701894493316</v>
      </c>
      <c r="N16" s="1" t="s">
        <v>48</v>
      </c>
      <c r="O16" s="1" t="s">
        <v>54</v>
      </c>
      <c r="P16">
        <v>25</v>
      </c>
      <c r="Q16">
        <v>558</v>
      </c>
      <c r="R16">
        <v>14</v>
      </c>
      <c r="S16">
        <v>5.7914366298629893</v>
      </c>
      <c r="T16" s="1" t="s">
        <v>39</v>
      </c>
      <c r="U16">
        <v>0.10068285156509371</v>
      </c>
      <c r="V16" s="1" t="s">
        <v>49</v>
      </c>
      <c r="W16" s="1" t="s">
        <v>41</v>
      </c>
      <c r="X16">
        <v>929.23528996088965</v>
      </c>
    </row>
    <row r="17" spans="1:24" x14ac:dyDescent="0.25">
      <c r="A17" s="1" t="s">
        <v>42</v>
      </c>
      <c r="B17" s="1" t="s">
        <v>78</v>
      </c>
      <c r="C17">
        <v>36.98924492862691</v>
      </c>
      <c r="D17">
        <v>94</v>
      </c>
      <c r="E17">
        <v>469</v>
      </c>
      <c r="F17">
        <v>5442.0867853976733</v>
      </c>
      <c r="G17" s="1" t="s">
        <v>35</v>
      </c>
      <c r="H17">
        <v>9</v>
      </c>
      <c r="I17">
        <v>8</v>
      </c>
      <c r="J17">
        <v>69</v>
      </c>
      <c r="K17">
        <v>7</v>
      </c>
      <c r="L17" s="1" t="s">
        <v>36</v>
      </c>
      <c r="M17">
        <v>2.4220397232752044</v>
      </c>
      <c r="N17" s="1" t="s">
        <v>48</v>
      </c>
      <c r="O17" s="1" t="s">
        <v>62</v>
      </c>
      <c r="P17">
        <v>14</v>
      </c>
      <c r="Q17">
        <v>580</v>
      </c>
      <c r="R17">
        <v>7</v>
      </c>
      <c r="S17">
        <v>97.121281751474314</v>
      </c>
      <c r="T17" s="1" t="s">
        <v>73</v>
      </c>
      <c r="U17">
        <v>2.2644057611985491</v>
      </c>
      <c r="V17" s="1" t="s">
        <v>65</v>
      </c>
      <c r="W17" s="1" t="s">
        <v>41</v>
      </c>
      <c r="X17">
        <v>127.86180000162541</v>
      </c>
    </row>
    <row r="18" spans="1:24" x14ac:dyDescent="0.25">
      <c r="A18" s="1" t="s">
        <v>42</v>
      </c>
      <c r="B18" s="1" t="s">
        <v>79</v>
      </c>
      <c r="C18">
        <v>7.5471721097912718</v>
      </c>
      <c r="D18">
        <v>74</v>
      </c>
      <c r="E18">
        <v>280</v>
      </c>
      <c r="F18">
        <v>6453.7979681762854</v>
      </c>
      <c r="G18" s="1" t="s">
        <v>44</v>
      </c>
      <c r="H18">
        <v>2</v>
      </c>
      <c r="I18">
        <v>5</v>
      </c>
      <c r="J18">
        <v>78</v>
      </c>
      <c r="K18">
        <v>1</v>
      </c>
      <c r="L18" s="1" t="s">
        <v>36</v>
      </c>
      <c r="M18">
        <v>4.1913245857055017</v>
      </c>
      <c r="N18" s="1" t="s">
        <v>48</v>
      </c>
      <c r="O18" s="1" t="s">
        <v>62</v>
      </c>
      <c r="P18">
        <v>3</v>
      </c>
      <c r="Q18">
        <v>399</v>
      </c>
      <c r="R18">
        <v>21</v>
      </c>
      <c r="S18">
        <v>77.106342497850008</v>
      </c>
      <c r="T18" s="1" t="s">
        <v>73</v>
      </c>
      <c r="U18">
        <v>1.0125630892580491</v>
      </c>
      <c r="V18" s="1" t="s">
        <v>49</v>
      </c>
      <c r="W18" s="1" t="s">
        <v>57</v>
      </c>
      <c r="X18">
        <v>865.52577977124031</v>
      </c>
    </row>
    <row r="19" spans="1:24" x14ac:dyDescent="0.25">
      <c r="A19" s="1" t="s">
        <v>66</v>
      </c>
      <c r="B19" s="1" t="s">
        <v>80</v>
      </c>
      <c r="C19">
        <v>81.462534369237019</v>
      </c>
      <c r="D19">
        <v>82</v>
      </c>
      <c r="E19">
        <v>126</v>
      </c>
      <c r="F19">
        <v>2629.3964348452619</v>
      </c>
      <c r="G19" s="1" t="s">
        <v>44</v>
      </c>
      <c r="H19">
        <v>45</v>
      </c>
      <c r="I19">
        <v>17</v>
      </c>
      <c r="J19">
        <v>85</v>
      </c>
      <c r="K19">
        <v>9</v>
      </c>
      <c r="L19" s="1" t="s">
        <v>52</v>
      </c>
      <c r="M19">
        <v>3.5854189582323421</v>
      </c>
      <c r="N19" s="1" t="s">
        <v>48</v>
      </c>
      <c r="O19" s="1" t="s">
        <v>71</v>
      </c>
      <c r="P19">
        <v>7</v>
      </c>
      <c r="Q19">
        <v>453</v>
      </c>
      <c r="R19">
        <v>16</v>
      </c>
      <c r="S19">
        <v>47.679680368355335</v>
      </c>
      <c r="T19" s="1" t="s">
        <v>55</v>
      </c>
      <c r="U19">
        <v>0.10202075491817619</v>
      </c>
      <c r="V19" s="1" t="s">
        <v>49</v>
      </c>
      <c r="W19" s="1" t="s">
        <v>50</v>
      </c>
      <c r="X19">
        <v>670.93439079241034</v>
      </c>
    </row>
    <row r="20" spans="1:24" x14ac:dyDescent="0.25">
      <c r="A20" s="1" t="s">
        <v>33</v>
      </c>
      <c r="B20" s="1" t="s">
        <v>81</v>
      </c>
      <c r="C20">
        <v>36.443627770460935</v>
      </c>
      <c r="D20">
        <v>23</v>
      </c>
      <c r="E20">
        <v>620</v>
      </c>
      <c r="F20">
        <v>9364.6735050761727</v>
      </c>
      <c r="G20" s="1" t="s">
        <v>47</v>
      </c>
      <c r="H20">
        <v>10</v>
      </c>
      <c r="I20">
        <v>10</v>
      </c>
      <c r="J20">
        <v>46</v>
      </c>
      <c r="K20">
        <v>8</v>
      </c>
      <c r="L20" s="1" t="s">
        <v>52</v>
      </c>
      <c r="M20">
        <v>4.339224714110709</v>
      </c>
      <c r="N20" s="1" t="s">
        <v>70</v>
      </c>
      <c r="O20" s="1" t="s">
        <v>54</v>
      </c>
      <c r="P20">
        <v>18</v>
      </c>
      <c r="Q20">
        <v>374</v>
      </c>
      <c r="R20">
        <v>17</v>
      </c>
      <c r="S20">
        <v>27.10798085484392</v>
      </c>
      <c r="T20" s="1" t="s">
        <v>39</v>
      </c>
      <c r="U20">
        <v>2.2319391107292637</v>
      </c>
      <c r="V20" s="1" t="s">
        <v>65</v>
      </c>
      <c r="W20" s="1" t="s">
        <v>57</v>
      </c>
      <c r="X20">
        <v>593.48025872065182</v>
      </c>
    </row>
    <row r="21" spans="1:24" x14ac:dyDescent="0.25">
      <c r="A21" s="1" t="s">
        <v>42</v>
      </c>
      <c r="B21" s="1" t="s">
        <v>82</v>
      </c>
      <c r="C21">
        <v>51.12387008796474</v>
      </c>
      <c r="D21">
        <v>100</v>
      </c>
      <c r="E21">
        <v>187</v>
      </c>
      <c r="F21">
        <v>2553.4955849912149</v>
      </c>
      <c r="G21" s="1" t="s">
        <v>47</v>
      </c>
      <c r="H21">
        <v>48</v>
      </c>
      <c r="I21">
        <v>11</v>
      </c>
      <c r="J21">
        <v>94</v>
      </c>
      <c r="K21">
        <v>3</v>
      </c>
      <c r="L21" s="1" t="s">
        <v>45</v>
      </c>
      <c r="M21">
        <v>4.7426358828418769</v>
      </c>
      <c r="N21" s="1" t="s">
        <v>61</v>
      </c>
      <c r="O21" s="1" t="s">
        <v>71</v>
      </c>
      <c r="P21">
        <v>20</v>
      </c>
      <c r="Q21">
        <v>694</v>
      </c>
      <c r="R21">
        <v>16</v>
      </c>
      <c r="S21">
        <v>82.373320587990207</v>
      </c>
      <c r="T21" s="1" t="s">
        <v>55</v>
      </c>
      <c r="U21">
        <v>3.6464508654170293</v>
      </c>
      <c r="V21" s="1" t="s">
        <v>40</v>
      </c>
      <c r="W21" s="1" t="s">
        <v>50</v>
      </c>
      <c r="X21">
        <v>477.30763109090344</v>
      </c>
    </row>
    <row r="22" spans="1:24" x14ac:dyDescent="0.25">
      <c r="A22" s="1" t="s">
        <v>42</v>
      </c>
      <c r="B22" s="1" t="s">
        <v>83</v>
      </c>
      <c r="C22">
        <v>96.341072439963384</v>
      </c>
      <c r="D22">
        <v>22</v>
      </c>
      <c r="E22">
        <v>320</v>
      </c>
      <c r="F22">
        <v>8128.0276968511916</v>
      </c>
      <c r="G22" s="1" t="s">
        <v>47</v>
      </c>
      <c r="H22">
        <v>27</v>
      </c>
      <c r="I22">
        <v>12</v>
      </c>
      <c r="J22">
        <v>68</v>
      </c>
      <c r="K22">
        <v>6</v>
      </c>
      <c r="L22" s="1" t="s">
        <v>45</v>
      </c>
      <c r="M22">
        <v>8.8783346509268402</v>
      </c>
      <c r="N22" s="1" t="s">
        <v>48</v>
      </c>
      <c r="O22" s="1" t="s">
        <v>71</v>
      </c>
      <c r="P22">
        <v>29</v>
      </c>
      <c r="Q22">
        <v>309</v>
      </c>
      <c r="R22">
        <v>6</v>
      </c>
      <c r="S22">
        <v>65.686259608488626</v>
      </c>
      <c r="T22" s="1" t="s">
        <v>73</v>
      </c>
      <c r="U22">
        <v>4.2314165735345393</v>
      </c>
      <c r="V22" s="1" t="s">
        <v>49</v>
      </c>
      <c r="W22" s="1" t="s">
        <v>41</v>
      </c>
      <c r="X22">
        <v>493.87121531620585</v>
      </c>
    </row>
    <row r="23" spans="1:24" x14ac:dyDescent="0.25">
      <c r="A23" s="1" t="s">
        <v>66</v>
      </c>
      <c r="B23" s="1" t="s">
        <v>84</v>
      </c>
      <c r="C23">
        <v>84.893868984950828</v>
      </c>
      <c r="D23">
        <v>60</v>
      </c>
      <c r="E23">
        <v>601</v>
      </c>
      <c r="F23">
        <v>7087.0526963574366</v>
      </c>
      <c r="G23" s="1" t="s">
        <v>47</v>
      </c>
      <c r="H23">
        <v>69</v>
      </c>
      <c r="I23">
        <v>25</v>
      </c>
      <c r="J23">
        <v>7</v>
      </c>
      <c r="K23">
        <v>6</v>
      </c>
      <c r="L23" s="1" t="s">
        <v>36</v>
      </c>
      <c r="M23">
        <v>6.0378837692182978</v>
      </c>
      <c r="N23" s="1" t="s">
        <v>53</v>
      </c>
      <c r="O23" s="1" t="s">
        <v>71</v>
      </c>
      <c r="P23">
        <v>19</v>
      </c>
      <c r="Q23">
        <v>791</v>
      </c>
      <c r="R23">
        <v>4</v>
      </c>
      <c r="S23">
        <v>61.735728954160933</v>
      </c>
      <c r="T23" s="1" t="s">
        <v>39</v>
      </c>
      <c r="U23">
        <v>1.8607567631014899E-2</v>
      </c>
      <c r="V23" s="1" t="s">
        <v>49</v>
      </c>
      <c r="W23" s="1" t="s">
        <v>50</v>
      </c>
      <c r="X23">
        <v>523.36091472015801</v>
      </c>
    </row>
    <row r="24" spans="1:24" x14ac:dyDescent="0.25">
      <c r="A24" s="1" t="s">
        <v>33</v>
      </c>
      <c r="B24" s="1" t="s">
        <v>85</v>
      </c>
      <c r="C24">
        <v>27.679780886501959</v>
      </c>
      <c r="D24">
        <v>55</v>
      </c>
      <c r="E24">
        <v>884</v>
      </c>
      <c r="F24">
        <v>2390.8078665561734</v>
      </c>
      <c r="G24" s="1" t="s">
        <v>47</v>
      </c>
      <c r="H24">
        <v>71</v>
      </c>
      <c r="I24">
        <v>1</v>
      </c>
      <c r="J24">
        <v>63</v>
      </c>
      <c r="K24">
        <v>10</v>
      </c>
      <c r="L24" s="1" t="s">
        <v>45</v>
      </c>
      <c r="M24">
        <v>9.5676489209230393</v>
      </c>
      <c r="N24" s="1" t="s">
        <v>61</v>
      </c>
      <c r="O24" s="1" t="s">
        <v>54</v>
      </c>
      <c r="P24">
        <v>22</v>
      </c>
      <c r="Q24">
        <v>780</v>
      </c>
      <c r="R24">
        <v>28</v>
      </c>
      <c r="S24">
        <v>50.120839612977349</v>
      </c>
      <c r="T24" s="1" t="s">
        <v>55</v>
      </c>
      <c r="U24">
        <v>2.5912754732111161</v>
      </c>
      <c r="V24" s="1" t="s">
        <v>56</v>
      </c>
      <c r="W24" s="1" t="s">
        <v>50</v>
      </c>
      <c r="X24">
        <v>205.57199582694707</v>
      </c>
    </row>
    <row r="25" spans="1:24" x14ac:dyDescent="0.25">
      <c r="A25" s="1" t="s">
        <v>66</v>
      </c>
      <c r="B25" s="1" t="s">
        <v>86</v>
      </c>
      <c r="C25">
        <v>4.3243411858641636</v>
      </c>
      <c r="D25">
        <v>30</v>
      </c>
      <c r="E25">
        <v>391</v>
      </c>
      <c r="F25">
        <v>8858.367571011484</v>
      </c>
      <c r="G25" s="1" t="s">
        <v>47</v>
      </c>
      <c r="H25">
        <v>84</v>
      </c>
      <c r="I25">
        <v>5</v>
      </c>
      <c r="J25">
        <v>29</v>
      </c>
      <c r="K25">
        <v>7</v>
      </c>
      <c r="L25" s="1" t="s">
        <v>45</v>
      </c>
      <c r="M25">
        <v>2.924857601145554</v>
      </c>
      <c r="N25" s="1" t="s">
        <v>53</v>
      </c>
      <c r="O25" s="1" t="s">
        <v>54</v>
      </c>
      <c r="P25">
        <v>11</v>
      </c>
      <c r="Q25">
        <v>568</v>
      </c>
      <c r="R25">
        <v>29</v>
      </c>
      <c r="S25">
        <v>98.609957242703871</v>
      </c>
      <c r="T25" s="1" t="s">
        <v>39</v>
      </c>
      <c r="U25">
        <v>1.3422915627227339</v>
      </c>
      <c r="V25" s="1" t="s">
        <v>56</v>
      </c>
      <c r="W25" s="1" t="s">
        <v>57</v>
      </c>
      <c r="X25">
        <v>196.32944611241268</v>
      </c>
    </row>
    <row r="26" spans="1:24" x14ac:dyDescent="0.25">
      <c r="A26" s="1" t="s">
        <v>33</v>
      </c>
      <c r="B26" s="1" t="s">
        <v>87</v>
      </c>
      <c r="C26">
        <v>4.1563083593111081</v>
      </c>
      <c r="D26">
        <v>32</v>
      </c>
      <c r="E26">
        <v>209</v>
      </c>
      <c r="F26">
        <v>9049.0778609398967</v>
      </c>
      <c r="G26" s="1" t="s">
        <v>64</v>
      </c>
      <c r="H26">
        <v>4</v>
      </c>
      <c r="I26">
        <v>26</v>
      </c>
      <c r="J26">
        <v>2</v>
      </c>
      <c r="K26">
        <v>8</v>
      </c>
      <c r="L26" s="1" t="s">
        <v>52</v>
      </c>
      <c r="M26">
        <v>9.7412916892843686</v>
      </c>
      <c r="N26" s="1" t="s">
        <v>70</v>
      </c>
      <c r="O26" s="1" t="s">
        <v>62</v>
      </c>
      <c r="P26">
        <v>28</v>
      </c>
      <c r="Q26">
        <v>447</v>
      </c>
      <c r="R26">
        <v>3</v>
      </c>
      <c r="S26">
        <v>40.382359702924816</v>
      </c>
      <c r="T26" s="1" t="s">
        <v>39</v>
      </c>
      <c r="U26">
        <v>3.691310292628728</v>
      </c>
      <c r="V26" s="1" t="s">
        <v>49</v>
      </c>
      <c r="W26" s="1" t="s">
        <v>57</v>
      </c>
      <c r="X26">
        <v>758.72477260293829</v>
      </c>
    </row>
    <row r="27" spans="1:24" x14ac:dyDescent="0.25">
      <c r="A27" s="1" t="s">
        <v>33</v>
      </c>
      <c r="B27" s="1" t="s">
        <v>88</v>
      </c>
      <c r="C27">
        <v>39.629343985092625</v>
      </c>
      <c r="D27">
        <v>73</v>
      </c>
      <c r="E27">
        <v>142</v>
      </c>
      <c r="F27">
        <v>2174.777054350654</v>
      </c>
      <c r="G27" s="1" t="s">
        <v>64</v>
      </c>
      <c r="H27">
        <v>82</v>
      </c>
      <c r="I27">
        <v>11</v>
      </c>
      <c r="J27">
        <v>52</v>
      </c>
      <c r="K27">
        <v>3</v>
      </c>
      <c r="L27" s="1" t="s">
        <v>52</v>
      </c>
      <c r="M27">
        <v>2.2310736812817278</v>
      </c>
      <c r="N27" s="1" t="s">
        <v>61</v>
      </c>
      <c r="O27" s="1" t="s">
        <v>54</v>
      </c>
      <c r="P27">
        <v>19</v>
      </c>
      <c r="Q27">
        <v>934</v>
      </c>
      <c r="R27">
        <v>23</v>
      </c>
      <c r="S27">
        <v>78.280383118415386</v>
      </c>
      <c r="T27" s="1" t="s">
        <v>39</v>
      </c>
      <c r="U27">
        <v>3.7972312171141831</v>
      </c>
      <c r="V27" s="1" t="s">
        <v>40</v>
      </c>
      <c r="W27" s="1" t="s">
        <v>41</v>
      </c>
      <c r="X27">
        <v>458.53594573920907</v>
      </c>
    </row>
    <row r="28" spans="1:24" x14ac:dyDescent="0.25">
      <c r="A28" s="1" t="s">
        <v>33</v>
      </c>
      <c r="B28" s="1" t="s">
        <v>89</v>
      </c>
      <c r="C28">
        <v>97.44694661789282</v>
      </c>
      <c r="D28">
        <v>9</v>
      </c>
      <c r="E28">
        <v>353</v>
      </c>
      <c r="F28">
        <v>3716.4933258940368</v>
      </c>
      <c r="G28" s="1" t="s">
        <v>64</v>
      </c>
      <c r="H28">
        <v>59</v>
      </c>
      <c r="I28">
        <v>16</v>
      </c>
      <c r="J28">
        <v>48</v>
      </c>
      <c r="K28">
        <v>4</v>
      </c>
      <c r="L28" s="1" t="s">
        <v>36</v>
      </c>
      <c r="M28">
        <v>6.5075486210785511</v>
      </c>
      <c r="N28" s="1" t="s">
        <v>70</v>
      </c>
      <c r="O28" s="1" t="s">
        <v>62</v>
      </c>
      <c r="P28">
        <v>26</v>
      </c>
      <c r="Q28">
        <v>171</v>
      </c>
      <c r="R28">
        <v>4</v>
      </c>
      <c r="S28">
        <v>15.972229757181761</v>
      </c>
      <c r="T28" s="1" t="s">
        <v>73</v>
      </c>
      <c r="U28">
        <v>2.1193197367249228</v>
      </c>
      <c r="V28" s="1" t="s">
        <v>56</v>
      </c>
      <c r="W28" s="1" t="s">
        <v>57</v>
      </c>
      <c r="X28">
        <v>617.8669164583772</v>
      </c>
    </row>
    <row r="29" spans="1:24" x14ac:dyDescent="0.25">
      <c r="A29" s="1" t="s">
        <v>66</v>
      </c>
      <c r="B29" s="1" t="s">
        <v>90</v>
      </c>
      <c r="C29">
        <v>92.557360812402024</v>
      </c>
      <c r="D29">
        <v>42</v>
      </c>
      <c r="E29">
        <v>352</v>
      </c>
      <c r="F29">
        <v>2686.4572235759833</v>
      </c>
      <c r="G29" s="1" t="s">
        <v>47</v>
      </c>
      <c r="H29">
        <v>47</v>
      </c>
      <c r="I29">
        <v>9</v>
      </c>
      <c r="J29">
        <v>62</v>
      </c>
      <c r="K29">
        <v>8</v>
      </c>
      <c r="L29" s="1" t="s">
        <v>52</v>
      </c>
      <c r="M29">
        <v>7.406750952998074</v>
      </c>
      <c r="N29" s="1" t="s">
        <v>53</v>
      </c>
      <c r="O29" s="1" t="s">
        <v>38</v>
      </c>
      <c r="P29">
        <v>25</v>
      </c>
      <c r="Q29">
        <v>291</v>
      </c>
      <c r="R29">
        <v>4</v>
      </c>
      <c r="S29">
        <v>10.528245070042162</v>
      </c>
      <c r="T29" s="1" t="s">
        <v>55</v>
      </c>
      <c r="U29">
        <v>2.8646678378833732</v>
      </c>
      <c r="V29" s="1" t="s">
        <v>65</v>
      </c>
      <c r="W29" s="1" t="s">
        <v>41</v>
      </c>
      <c r="X29">
        <v>762.45918215568372</v>
      </c>
    </row>
    <row r="30" spans="1:24" x14ac:dyDescent="0.25">
      <c r="A30" s="1" t="s">
        <v>66</v>
      </c>
      <c r="B30" s="1" t="s">
        <v>91</v>
      </c>
      <c r="C30">
        <v>2.3972747055971411</v>
      </c>
      <c r="D30">
        <v>12</v>
      </c>
      <c r="E30">
        <v>394</v>
      </c>
      <c r="F30">
        <v>6117.3246150839923</v>
      </c>
      <c r="G30" s="1" t="s">
        <v>44</v>
      </c>
      <c r="H30">
        <v>48</v>
      </c>
      <c r="I30">
        <v>15</v>
      </c>
      <c r="J30">
        <v>24</v>
      </c>
      <c r="K30">
        <v>4</v>
      </c>
      <c r="L30" s="1" t="s">
        <v>36</v>
      </c>
      <c r="M30">
        <v>9.898140508069222</v>
      </c>
      <c r="N30" s="1" t="s">
        <v>48</v>
      </c>
      <c r="O30" s="1" t="s">
        <v>38</v>
      </c>
      <c r="P30">
        <v>13</v>
      </c>
      <c r="Q30">
        <v>171</v>
      </c>
      <c r="R30">
        <v>7</v>
      </c>
      <c r="S30">
        <v>59.429381810691567</v>
      </c>
      <c r="T30" s="1" t="s">
        <v>55</v>
      </c>
      <c r="U30">
        <v>0.81575707929567198</v>
      </c>
      <c r="V30" s="1" t="s">
        <v>49</v>
      </c>
      <c r="W30" s="1" t="s">
        <v>57</v>
      </c>
      <c r="X30">
        <v>123.43702751182708</v>
      </c>
    </row>
    <row r="31" spans="1:24" x14ac:dyDescent="0.25">
      <c r="A31" s="1" t="s">
        <v>66</v>
      </c>
      <c r="B31" s="1" t="s">
        <v>92</v>
      </c>
      <c r="C31">
        <v>63.447559185207332</v>
      </c>
      <c r="D31">
        <v>3</v>
      </c>
      <c r="E31">
        <v>253</v>
      </c>
      <c r="F31">
        <v>8318.9031946171781</v>
      </c>
      <c r="G31" s="1" t="s">
        <v>44</v>
      </c>
      <c r="H31">
        <v>45</v>
      </c>
      <c r="I31">
        <v>5</v>
      </c>
      <c r="J31">
        <v>67</v>
      </c>
      <c r="K31">
        <v>7</v>
      </c>
      <c r="L31" s="1" t="s">
        <v>36</v>
      </c>
      <c r="M31">
        <v>8.1009731453970311</v>
      </c>
      <c r="N31" s="1" t="s">
        <v>48</v>
      </c>
      <c r="O31" s="1" t="s">
        <v>54</v>
      </c>
      <c r="P31">
        <v>16</v>
      </c>
      <c r="Q31">
        <v>329</v>
      </c>
      <c r="R31">
        <v>7</v>
      </c>
      <c r="S31">
        <v>39.292875586065747</v>
      </c>
      <c r="T31" s="1" t="s">
        <v>73</v>
      </c>
      <c r="U31">
        <v>3.8780989365884881</v>
      </c>
      <c r="V31" s="1" t="s">
        <v>40</v>
      </c>
      <c r="W31" s="1" t="s">
        <v>41</v>
      </c>
      <c r="X31">
        <v>764.93537594070813</v>
      </c>
    </row>
    <row r="32" spans="1:24" x14ac:dyDescent="0.25">
      <c r="A32" s="1" t="s">
        <v>33</v>
      </c>
      <c r="B32" s="1" t="s">
        <v>93</v>
      </c>
      <c r="C32">
        <v>8.0228592105263932</v>
      </c>
      <c r="D32">
        <v>10</v>
      </c>
      <c r="E32">
        <v>327</v>
      </c>
      <c r="F32">
        <v>2766.3423668660889</v>
      </c>
      <c r="G32" s="1" t="s">
        <v>64</v>
      </c>
      <c r="H32">
        <v>60</v>
      </c>
      <c r="I32">
        <v>26</v>
      </c>
      <c r="J32">
        <v>35</v>
      </c>
      <c r="K32">
        <v>7</v>
      </c>
      <c r="L32" s="1" t="s">
        <v>36</v>
      </c>
      <c r="M32">
        <v>8.9545283153180151</v>
      </c>
      <c r="N32" s="1" t="s">
        <v>61</v>
      </c>
      <c r="O32" s="1" t="s">
        <v>54</v>
      </c>
      <c r="P32">
        <v>27</v>
      </c>
      <c r="Q32">
        <v>806</v>
      </c>
      <c r="R32">
        <v>30</v>
      </c>
      <c r="S32">
        <v>51.634893400109334</v>
      </c>
      <c r="T32" s="1" t="s">
        <v>39</v>
      </c>
      <c r="U32">
        <v>0.96539470535239313</v>
      </c>
      <c r="V32" s="1" t="s">
        <v>40</v>
      </c>
      <c r="W32" s="1" t="s">
        <v>50</v>
      </c>
      <c r="X32">
        <v>880.08098824716103</v>
      </c>
    </row>
    <row r="33" spans="1:24" x14ac:dyDescent="0.25">
      <c r="A33" s="1" t="s">
        <v>42</v>
      </c>
      <c r="B33" s="1" t="s">
        <v>94</v>
      </c>
      <c r="C33">
        <v>50.847393051718697</v>
      </c>
      <c r="D33">
        <v>28</v>
      </c>
      <c r="E33">
        <v>168</v>
      </c>
      <c r="F33">
        <v>9655.1351027193978</v>
      </c>
      <c r="G33" s="1" t="s">
        <v>64</v>
      </c>
      <c r="H33">
        <v>6</v>
      </c>
      <c r="I33">
        <v>17</v>
      </c>
      <c r="J33">
        <v>44</v>
      </c>
      <c r="K33">
        <v>4</v>
      </c>
      <c r="L33" s="1" t="s">
        <v>36</v>
      </c>
      <c r="M33">
        <v>2.6796609649814065</v>
      </c>
      <c r="N33" s="1" t="s">
        <v>37</v>
      </c>
      <c r="O33" s="1" t="s">
        <v>71</v>
      </c>
      <c r="P33">
        <v>24</v>
      </c>
      <c r="Q33">
        <v>461</v>
      </c>
      <c r="R33">
        <v>8</v>
      </c>
      <c r="S33">
        <v>60.25114566159808</v>
      </c>
      <c r="T33" s="1" t="s">
        <v>39</v>
      </c>
      <c r="U33">
        <v>2.9890000066550746</v>
      </c>
      <c r="V33" s="1" t="s">
        <v>56</v>
      </c>
      <c r="W33" s="1" t="s">
        <v>50</v>
      </c>
      <c r="X33">
        <v>609.37920661842668</v>
      </c>
    </row>
    <row r="34" spans="1:24" x14ac:dyDescent="0.25">
      <c r="A34" s="1" t="s">
        <v>42</v>
      </c>
      <c r="B34" s="1" t="s">
        <v>95</v>
      </c>
      <c r="C34">
        <v>79.209936015656723</v>
      </c>
      <c r="D34">
        <v>43</v>
      </c>
      <c r="E34">
        <v>781</v>
      </c>
      <c r="F34">
        <v>9571.5504873278187</v>
      </c>
      <c r="G34" s="1" t="s">
        <v>47</v>
      </c>
      <c r="H34">
        <v>89</v>
      </c>
      <c r="I34">
        <v>13</v>
      </c>
      <c r="J34">
        <v>64</v>
      </c>
      <c r="K34">
        <v>4</v>
      </c>
      <c r="L34" s="1" t="s">
        <v>52</v>
      </c>
      <c r="M34">
        <v>6.5991049012385838</v>
      </c>
      <c r="N34" s="1" t="s">
        <v>37</v>
      </c>
      <c r="O34" s="1" t="s">
        <v>54</v>
      </c>
      <c r="P34">
        <v>30</v>
      </c>
      <c r="Q34">
        <v>737</v>
      </c>
      <c r="R34">
        <v>7</v>
      </c>
      <c r="S34">
        <v>29.692467153749774</v>
      </c>
      <c r="T34" s="1" t="s">
        <v>73</v>
      </c>
      <c r="U34">
        <v>1.9460361193861131</v>
      </c>
      <c r="V34" s="1" t="s">
        <v>40</v>
      </c>
      <c r="W34" s="1" t="s">
        <v>57</v>
      </c>
      <c r="X34">
        <v>761.17390951487755</v>
      </c>
    </row>
    <row r="35" spans="1:24" x14ac:dyDescent="0.25">
      <c r="A35" s="1" t="s">
        <v>66</v>
      </c>
      <c r="B35" s="1" t="s">
        <v>96</v>
      </c>
      <c r="C35">
        <v>64.795435000155607</v>
      </c>
      <c r="D35">
        <v>63</v>
      </c>
      <c r="E35">
        <v>616</v>
      </c>
      <c r="F35">
        <v>5149.9983504080365</v>
      </c>
      <c r="G35" s="1" t="s">
        <v>35</v>
      </c>
      <c r="H35">
        <v>4</v>
      </c>
      <c r="I35">
        <v>17</v>
      </c>
      <c r="J35">
        <v>95</v>
      </c>
      <c r="K35">
        <v>9</v>
      </c>
      <c r="L35" s="1" t="s">
        <v>52</v>
      </c>
      <c r="M35">
        <v>4.85827050343664</v>
      </c>
      <c r="N35" s="1" t="s">
        <v>53</v>
      </c>
      <c r="O35" s="1" t="s">
        <v>71</v>
      </c>
      <c r="P35">
        <v>1</v>
      </c>
      <c r="Q35">
        <v>251</v>
      </c>
      <c r="R35">
        <v>23</v>
      </c>
      <c r="S35">
        <v>23.853427512896133</v>
      </c>
      <c r="T35" s="1" t="s">
        <v>55</v>
      </c>
      <c r="U35">
        <v>3.5410460122509231</v>
      </c>
      <c r="V35" s="1" t="s">
        <v>65</v>
      </c>
      <c r="W35" s="1" t="s">
        <v>57</v>
      </c>
      <c r="X35">
        <v>371.25529551987103</v>
      </c>
    </row>
    <row r="36" spans="1:24" x14ac:dyDescent="0.25">
      <c r="A36" s="1" t="s">
        <v>42</v>
      </c>
      <c r="B36" s="1" t="s">
        <v>97</v>
      </c>
      <c r="C36">
        <v>37.467592329842461</v>
      </c>
      <c r="D36">
        <v>96</v>
      </c>
      <c r="E36">
        <v>602</v>
      </c>
      <c r="F36">
        <v>9061.7108955077238</v>
      </c>
      <c r="G36" s="1" t="s">
        <v>47</v>
      </c>
      <c r="H36">
        <v>1</v>
      </c>
      <c r="I36">
        <v>26</v>
      </c>
      <c r="J36">
        <v>21</v>
      </c>
      <c r="K36">
        <v>7</v>
      </c>
      <c r="L36" s="1" t="s">
        <v>45</v>
      </c>
      <c r="M36">
        <v>1.0194875708221189</v>
      </c>
      <c r="N36" s="1" t="s">
        <v>48</v>
      </c>
      <c r="O36" s="1" t="s">
        <v>71</v>
      </c>
      <c r="P36">
        <v>4</v>
      </c>
      <c r="Q36">
        <v>452</v>
      </c>
      <c r="R36">
        <v>10</v>
      </c>
      <c r="S36">
        <v>10.754272815029333</v>
      </c>
      <c r="T36" s="1" t="s">
        <v>73</v>
      </c>
      <c r="U36">
        <v>0.64660455937205485</v>
      </c>
      <c r="V36" s="1" t="s">
        <v>40</v>
      </c>
      <c r="W36" s="1" t="s">
        <v>41</v>
      </c>
      <c r="X36">
        <v>510.3580004335235</v>
      </c>
    </row>
    <row r="37" spans="1:24" x14ac:dyDescent="0.25">
      <c r="A37" s="1" t="s">
        <v>66</v>
      </c>
      <c r="B37" s="1" t="s">
        <v>98</v>
      </c>
      <c r="C37">
        <v>84.957786816350435</v>
      </c>
      <c r="D37">
        <v>11</v>
      </c>
      <c r="E37">
        <v>449</v>
      </c>
      <c r="F37">
        <v>6541.3293448024651</v>
      </c>
      <c r="G37" s="1" t="s">
        <v>44</v>
      </c>
      <c r="H37">
        <v>42</v>
      </c>
      <c r="I37">
        <v>27</v>
      </c>
      <c r="J37">
        <v>85</v>
      </c>
      <c r="K37">
        <v>8</v>
      </c>
      <c r="L37" s="1" t="s">
        <v>52</v>
      </c>
      <c r="M37">
        <v>5.2881899903274094</v>
      </c>
      <c r="N37" s="1" t="s">
        <v>48</v>
      </c>
      <c r="O37" s="1" t="s">
        <v>59</v>
      </c>
      <c r="P37">
        <v>3</v>
      </c>
      <c r="Q37">
        <v>367</v>
      </c>
      <c r="R37">
        <v>2</v>
      </c>
      <c r="S37">
        <v>58.004787044743765</v>
      </c>
      <c r="T37" s="1" t="s">
        <v>73</v>
      </c>
      <c r="U37">
        <v>0.54115409806058112</v>
      </c>
      <c r="V37" s="1" t="s">
        <v>65</v>
      </c>
      <c r="W37" s="1" t="s">
        <v>50</v>
      </c>
      <c r="X37">
        <v>553.42047123035582</v>
      </c>
    </row>
    <row r="38" spans="1:24" x14ac:dyDescent="0.25">
      <c r="A38" s="1" t="s">
        <v>42</v>
      </c>
      <c r="B38" s="1" t="s">
        <v>99</v>
      </c>
      <c r="C38">
        <v>9.8130025787540518</v>
      </c>
      <c r="D38">
        <v>34</v>
      </c>
      <c r="E38">
        <v>963</v>
      </c>
      <c r="F38">
        <v>7573.4024578487333</v>
      </c>
      <c r="G38" s="1" t="s">
        <v>44</v>
      </c>
      <c r="H38">
        <v>18</v>
      </c>
      <c r="I38">
        <v>23</v>
      </c>
      <c r="J38">
        <v>28</v>
      </c>
      <c r="K38">
        <v>3</v>
      </c>
      <c r="L38" s="1" t="s">
        <v>36</v>
      </c>
      <c r="M38">
        <v>2.107951267159081</v>
      </c>
      <c r="N38" s="1" t="s">
        <v>70</v>
      </c>
      <c r="O38" s="1" t="s">
        <v>59</v>
      </c>
      <c r="P38">
        <v>26</v>
      </c>
      <c r="Q38">
        <v>671</v>
      </c>
      <c r="R38">
        <v>19</v>
      </c>
      <c r="S38">
        <v>45.531364237162144</v>
      </c>
      <c r="T38" s="1" t="s">
        <v>55</v>
      </c>
      <c r="U38">
        <v>3.8055333792433537</v>
      </c>
      <c r="V38" s="1" t="s">
        <v>49</v>
      </c>
      <c r="W38" s="1" t="s">
        <v>50</v>
      </c>
      <c r="X38">
        <v>403.8089742481805</v>
      </c>
    </row>
    <row r="39" spans="1:24" x14ac:dyDescent="0.25">
      <c r="A39" s="1" t="s">
        <v>42</v>
      </c>
      <c r="B39" s="1" t="s">
        <v>100</v>
      </c>
      <c r="C39">
        <v>23.399844752614349</v>
      </c>
      <c r="D39">
        <v>5</v>
      </c>
      <c r="E39">
        <v>963</v>
      </c>
      <c r="F39">
        <v>2438.3399304700288</v>
      </c>
      <c r="G39" s="1" t="s">
        <v>44</v>
      </c>
      <c r="H39">
        <v>25</v>
      </c>
      <c r="I39">
        <v>8</v>
      </c>
      <c r="J39">
        <v>21</v>
      </c>
      <c r="K39">
        <v>9</v>
      </c>
      <c r="L39" s="1" t="s">
        <v>45</v>
      </c>
      <c r="M39">
        <v>1.5326552735904306</v>
      </c>
      <c r="N39" s="1" t="s">
        <v>37</v>
      </c>
      <c r="O39" s="1" t="s">
        <v>54</v>
      </c>
      <c r="P39">
        <v>24</v>
      </c>
      <c r="Q39">
        <v>867</v>
      </c>
      <c r="R39">
        <v>15</v>
      </c>
      <c r="S39">
        <v>34.343277465075381</v>
      </c>
      <c r="T39" s="1" t="s">
        <v>39</v>
      </c>
      <c r="U39">
        <v>2.6102880848481131</v>
      </c>
      <c r="V39" s="1" t="s">
        <v>65</v>
      </c>
      <c r="W39" s="1" t="s">
        <v>57</v>
      </c>
      <c r="X39">
        <v>183.93296804359437</v>
      </c>
    </row>
    <row r="40" spans="1:24" x14ac:dyDescent="0.25">
      <c r="A40" s="1" t="s">
        <v>66</v>
      </c>
      <c r="B40" s="1" t="s">
        <v>101</v>
      </c>
      <c r="C40">
        <v>52.075930682707799</v>
      </c>
      <c r="D40">
        <v>75</v>
      </c>
      <c r="E40">
        <v>705</v>
      </c>
      <c r="F40">
        <v>9692.3180402184316</v>
      </c>
      <c r="G40" s="1" t="s">
        <v>35</v>
      </c>
      <c r="H40">
        <v>69</v>
      </c>
      <c r="I40">
        <v>1</v>
      </c>
      <c r="J40">
        <v>88</v>
      </c>
      <c r="K40">
        <v>5</v>
      </c>
      <c r="L40" s="1" t="s">
        <v>36</v>
      </c>
      <c r="M40">
        <v>9.2359314372492278</v>
      </c>
      <c r="N40" s="1" t="s">
        <v>53</v>
      </c>
      <c r="O40" s="1" t="s">
        <v>38</v>
      </c>
      <c r="P40">
        <v>10</v>
      </c>
      <c r="Q40">
        <v>841</v>
      </c>
      <c r="R40">
        <v>12</v>
      </c>
      <c r="S40">
        <v>5.9306936455283177</v>
      </c>
      <c r="T40" s="1" t="s">
        <v>39</v>
      </c>
      <c r="U40">
        <v>0.61332689916450744</v>
      </c>
      <c r="V40" s="1" t="s">
        <v>49</v>
      </c>
      <c r="W40" s="1" t="s">
        <v>41</v>
      </c>
      <c r="X40">
        <v>339.67286994860615</v>
      </c>
    </row>
    <row r="41" spans="1:24" x14ac:dyDescent="0.25">
      <c r="A41" s="1" t="s">
        <v>42</v>
      </c>
      <c r="B41" s="1" t="s">
        <v>102</v>
      </c>
      <c r="C41">
        <v>19.127477265823256</v>
      </c>
      <c r="D41">
        <v>26</v>
      </c>
      <c r="E41">
        <v>176</v>
      </c>
      <c r="F41">
        <v>1912.4656631007608</v>
      </c>
      <c r="G41" s="1" t="s">
        <v>44</v>
      </c>
      <c r="H41">
        <v>78</v>
      </c>
      <c r="I41">
        <v>29</v>
      </c>
      <c r="J41">
        <v>34</v>
      </c>
      <c r="K41">
        <v>3</v>
      </c>
      <c r="L41" s="1" t="s">
        <v>45</v>
      </c>
      <c r="M41">
        <v>5.5625037788303837</v>
      </c>
      <c r="N41" s="1" t="s">
        <v>70</v>
      </c>
      <c r="O41" s="1" t="s">
        <v>54</v>
      </c>
      <c r="P41">
        <v>30</v>
      </c>
      <c r="Q41">
        <v>791</v>
      </c>
      <c r="R41">
        <v>6</v>
      </c>
      <c r="S41">
        <v>9.0058074287816421</v>
      </c>
      <c r="T41" s="1" t="s">
        <v>55</v>
      </c>
      <c r="U41">
        <v>1.4519722039968159</v>
      </c>
      <c r="V41" s="1" t="s">
        <v>49</v>
      </c>
      <c r="W41" s="1" t="s">
        <v>41</v>
      </c>
      <c r="X41">
        <v>653.67299455203317</v>
      </c>
    </row>
    <row r="42" spans="1:24" x14ac:dyDescent="0.25">
      <c r="A42" s="1" t="s">
        <v>42</v>
      </c>
      <c r="B42" s="1" t="s">
        <v>103</v>
      </c>
      <c r="C42">
        <v>80.541424170940331</v>
      </c>
      <c r="D42">
        <v>97</v>
      </c>
      <c r="E42">
        <v>933</v>
      </c>
      <c r="F42">
        <v>5724.9593504562654</v>
      </c>
      <c r="G42" s="1" t="s">
        <v>44</v>
      </c>
      <c r="H42">
        <v>90</v>
      </c>
      <c r="I42">
        <v>20</v>
      </c>
      <c r="J42">
        <v>39</v>
      </c>
      <c r="K42">
        <v>8</v>
      </c>
      <c r="L42" s="1" t="s">
        <v>52</v>
      </c>
      <c r="M42">
        <v>7.2295951397364737</v>
      </c>
      <c r="N42" s="1" t="s">
        <v>48</v>
      </c>
      <c r="O42" s="1" t="s">
        <v>54</v>
      </c>
      <c r="P42">
        <v>18</v>
      </c>
      <c r="Q42">
        <v>793</v>
      </c>
      <c r="R42">
        <v>1</v>
      </c>
      <c r="S42">
        <v>88.179407104217461</v>
      </c>
      <c r="T42" s="1" t="s">
        <v>39</v>
      </c>
      <c r="U42">
        <v>4.2132694305865659</v>
      </c>
      <c r="V42" s="1" t="s">
        <v>40</v>
      </c>
      <c r="W42" s="1" t="s">
        <v>57</v>
      </c>
      <c r="X42">
        <v>529.80872398069187</v>
      </c>
    </row>
    <row r="43" spans="1:24" x14ac:dyDescent="0.25">
      <c r="A43" s="1" t="s">
        <v>42</v>
      </c>
      <c r="B43" s="1" t="s">
        <v>104</v>
      </c>
      <c r="C43">
        <v>99.113291615317166</v>
      </c>
      <c r="D43">
        <v>35</v>
      </c>
      <c r="E43">
        <v>556</v>
      </c>
      <c r="F43">
        <v>5521.2052590109715</v>
      </c>
      <c r="G43" s="1" t="s">
        <v>44</v>
      </c>
      <c r="H43">
        <v>64</v>
      </c>
      <c r="I43">
        <v>19</v>
      </c>
      <c r="J43">
        <v>38</v>
      </c>
      <c r="K43">
        <v>8</v>
      </c>
      <c r="L43" s="1" t="s">
        <v>36</v>
      </c>
      <c r="M43">
        <v>5.7732637437666536</v>
      </c>
      <c r="N43" s="1" t="s">
        <v>61</v>
      </c>
      <c r="O43" s="1" t="s">
        <v>71</v>
      </c>
      <c r="P43">
        <v>18</v>
      </c>
      <c r="Q43">
        <v>892</v>
      </c>
      <c r="R43">
        <v>7</v>
      </c>
      <c r="S43">
        <v>95.332064548772493</v>
      </c>
      <c r="T43" s="1" t="s">
        <v>55</v>
      </c>
      <c r="U43">
        <v>4.530226239825963E-2</v>
      </c>
      <c r="V43" s="1" t="s">
        <v>65</v>
      </c>
      <c r="W43" s="1" t="s">
        <v>57</v>
      </c>
      <c r="X43">
        <v>275.52437113130981</v>
      </c>
    </row>
    <row r="44" spans="1:24" x14ac:dyDescent="0.25">
      <c r="A44" s="1" t="s">
        <v>42</v>
      </c>
      <c r="B44" s="1" t="s">
        <v>105</v>
      </c>
      <c r="C44">
        <v>46.529167614516773</v>
      </c>
      <c r="D44">
        <v>98</v>
      </c>
      <c r="E44">
        <v>155</v>
      </c>
      <c r="F44">
        <v>1839.6094258567639</v>
      </c>
      <c r="G44" s="1" t="s">
        <v>44</v>
      </c>
      <c r="H44">
        <v>22</v>
      </c>
      <c r="I44">
        <v>27</v>
      </c>
      <c r="J44">
        <v>57</v>
      </c>
      <c r="K44">
        <v>4</v>
      </c>
      <c r="L44" s="1" t="s">
        <v>52</v>
      </c>
      <c r="M44">
        <v>7.5262483268515084</v>
      </c>
      <c r="N44" s="1" t="s">
        <v>53</v>
      </c>
      <c r="O44" s="1" t="s">
        <v>62</v>
      </c>
      <c r="P44">
        <v>26</v>
      </c>
      <c r="Q44">
        <v>179</v>
      </c>
      <c r="R44">
        <v>7</v>
      </c>
      <c r="S44">
        <v>96.422820639571867</v>
      </c>
      <c r="T44" s="1" t="s">
        <v>55</v>
      </c>
      <c r="U44">
        <v>4.9392552886209478</v>
      </c>
      <c r="V44" s="1" t="s">
        <v>40</v>
      </c>
      <c r="W44" s="1" t="s">
        <v>57</v>
      </c>
      <c r="X44">
        <v>635.65712050199193</v>
      </c>
    </row>
    <row r="45" spans="1:24" x14ac:dyDescent="0.25">
      <c r="A45" s="1" t="s">
        <v>33</v>
      </c>
      <c r="B45" s="1" t="s">
        <v>106</v>
      </c>
      <c r="C45">
        <v>11.743271776309239</v>
      </c>
      <c r="D45">
        <v>6</v>
      </c>
      <c r="E45">
        <v>598</v>
      </c>
      <c r="F45">
        <v>5737.425599119023</v>
      </c>
      <c r="G45" s="1" t="s">
        <v>47</v>
      </c>
      <c r="H45">
        <v>36</v>
      </c>
      <c r="I45">
        <v>29</v>
      </c>
      <c r="J45">
        <v>85</v>
      </c>
      <c r="K45">
        <v>9</v>
      </c>
      <c r="L45" s="1" t="s">
        <v>36</v>
      </c>
      <c r="M45">
        <v>3.6940212683884543</v>
      </c>
      <c r="N45" s="1" t="s">
        <v>53</v>
      </c>
      <c r="O45" s="1" t="s">
        <v>38</v>
      </c>
      <c r="P45">
        <v>1</v>
      </c>
      <c r="Q45">
        <v>206</v>
      </c>
      <c r="R45">
        <v>23</v>
      </c>
      <c r="S45">
        <v>26.27736595733241</v>
      </c>
      <c r="T45" s="1" t="s">
        <v>39</v>
      </c>
      <c r="U45">
        <v>0.37230476798509771</v>
      </c>
      <c r="V45" s="1" t="s">
        <v>49</v>
      </c>
      <c r="W45" s="1" t="s">
        <v>57</v>
      </c>
      <c r="X45">
        <v>716.04411975934067</v>
      </c>
    </row>
    <row r="46" spans="1:24" x14ac:dyDescent="0.25">
      <c r="A46" s="1" t="s">
        <v>66</v>
      </c>
      <c r="B46" s="1" t="s">
        <v>107</v>
      </c>
      <c r="C46">
        <v>51.35579091311039</v>
      </c>
      <c r="D46">
        <v>34</v>
      </c>
      <c r="E46">
        <v>919</v>
      </c>
      <c r="F46">
        <v>7152.2860494355145</v>
      </c>
      <c r="G46" s="1" t="s">
        <v>44</v>
      </c>
      <c r="H46">
        <v>13</v>
      </c>
      <c r="I46">
        <v>19</v>
      </c>
      <c r="J46">
        <v>72</v>
      </c>
      <c r="K46">
        <v>6</v>
      </c>
      <c r="L46" s="1" t="s">
        <v>52</v>
      </c>
      <c r="M46">
        <v>7.5774496573766932</v>
      </c>
      <c r="N46" s="1" t="s">
        <v>70</v>
      </c>
      <c r="O46" s="1" t="s">
        <v>59</v>
      </c>
      <c r="P46">
        <v>7</v>
      </c>
      <c r="Q46">
        <v>834</v>
      </c>
      <c r="R46">
        <v>18</v>
      </c>
      <c r="S46">
        <v>22.554106620887744</v>
      </c>
      <c r="T46" s="1" t="s">
        <v>55</v>
      </c>
      <c r="U46">
        <v>2.9626263204548819</v>
      </c>
      <c r="V46" s="1" t="s">
        <v>56</v>
      </c>
      <c r="W46" s="1" t="s">
        <v>57</v>
      </c>
      <c r="X46">
        <v>610.45326961922774</v>
      </c>
    </row>
    <row r="47" spans="1:24" x14ac:dyDescent="0.25">
      <c r="A47" s="1" t="s">
        <v>33</v>
      </c>
      <c r="B47" s="1" t="s">
        <v>108</v>
      </c>
      <c r="C47">
        <v>33.78413803306551</v>
      </c>
      <c r="D47">
        <v>1</v>
      </c>
      <c r="E47">
        <v>24</v>
      </c>
      <c r="F47">
        <v>5267.9568075105208</v>
      </c>
      <c r="G47" s="1" t="s">
        <v>64</v>
      </c>
      <c r="H47">
        <v>93</v>
      </c>
      <c r="I47">
        <v>7</v>
      </c>
      <c r="J47">
        <v>52</v>
      </c>
      <c r="K47">
        <v>6</v>
      </c>
      <c r="L47" s="1" t="s">
        <v>36</v>
      </c>
      <c r="M47">
        <v>5.2151550087119096</v>
      </c>
      <c r="N47" s="1" t="s">
        <v>70</v>
      </c>
      <c r="O47" s="1" t="s">
        <v>71</v>
      </c>
      <c r="P47">
        <v>25</v>
      </c>
      <c r="Q47">
        <v>794</v>
      </c>
      <c r="R47">
        <v>25</v>
      </c>
      <c r="S47">
        <v>66.312544439991655</v>
      </c>
      <c r="T47" s="1" t="s">
        <v>73</v>
      </c>
      <c r="U47">
        <v>3.219604612084106</v>
      </c>
      <c r="V47" s="1" t="s">
        <v>56</v>
      </c>
      <c r="W47" s="1" t="s">
        <v>57</v>
      </c>
      <c r="X47">
        <v>495.30569702847396</v>
      </c>
    </row>
    <row r="48" spans="1:24" x14ac:dyDescent="0.25">
      <c r="A48" s="1" t="s">
        <v>33</v>
      </c>
      <c r="B48" s="1" t="s">
        <v>109</v>
      </c>
      <c r="C48">
        <v>27.082207199888899</v>
      </c>
      <c r="D48">
        <v>75</v>
      </c>
      <c r="E48">
        <v>859</v>
      </c>
      <c r="F48">
        <v>2556.7673606335957</v>
      </c>
      <c r="G48" s="1" t="s">
        <v>35</v>
      </c>
      <c r="H48">
        <v>92</v>
      </c>
      <c r="I48">
        <v>29</v>
      </c>
      <c r="J48">
        <v>6</v>
      </c>
      <c r="K48">
        <v>8</v>
      </c>
      <c r="L48" s="1" t="s">
        <v>36</v>
      </c>
      <c r="M48">
        <v>4.0709558370840826</v>
      </c>
      <c r="N48" s="1" t="s">
        <v>37</v>
      </c>
      <c r="O48" s="1" t="s">
        <v>71</v>
      </c>
      <c r="P48">
        <v>18</v>
      </c>
      <c r="Q48">
        <v>870</v>
      </c>
      <c r="R48">
        <v>23</v>
      </c>
      <c r="S48">
        <v>77.32235321105162</v>
      </c>
      <c r="T48" s="1" t="s">
        <v>39</v>
      </c>
      <c r="U48">
        <v>3.6486105925362033</v>
      </c>
      <c r="V48" s="1" t="s">
        <v>40</v>
      </c>
      <c r="W48" s="1" t="s">
        <v>41</v>
      </c>
      <c r="X48">
        <v>380.43593711196428</v>
      </c>
    </row>
    <row r="49" spans="1:24" x14ac:dyDescent="0.25">
      <c r="A49" s="1" t="s">
        <v>42</v>
      </c>
      <c r="B49" s="1" t="s">
        <v>110</v>
      </c>
      <c r="C49">
        <v>95.712135880936088</v>
      </c>
      <c r="D49">
        <v>93</v>
      </c>
      <c r="E49">
        <v>910</v>
      </c>
      <c r="F49">
        <v>7089.4742499341864</v>
      </c>
      <c r="G49" s="1" t="s">
        <v>64</v>
      </c>
      <c r="H49">
        <v>4</v>
      </c>
      <c r="I49">
        <v>15</v>
      </c>
      <c r="J49">
        <v>51</v>
      </c>
      <c r="K49">
        <v>9</v>
      </c>
      <c r="L49" s="1" t="s">
        <v>36</v>
      </c>
      <c r="M49">
        <v>8.9787507559499709</v>
      </c>
      <c r="N49" s="1" t="s">
        <v>48</v>
      </c>
      <c r="O49" s="1" t="s">
        <v>54</v>
      </c>
      <c r="P49">
        <v>10</v>
      </c>
      <c r="Q49">
        <v>964</v>
      </c>
      <c r="R49">
        <v>20</v>
      </c>
      <c r="S49">
        <v>19.712992911293647</v>
      </c>
      <c r="T49" s="1" t="s">
        <v>39</v>
      </c>
      <c r="U49">
        <v>0.38057358671321373</v>
      </c>
      <c r="V49" s="1" t="s">
        <v>56</v>
      </c>
      <c r="W49" s="1" t="s">
        <v>57</v>
      </c>
      <c r="X49">
        <v>581.60235505058677</v>
      </c>
    </row>
    <row r="50" spans="1:24" x14ac:dyDescent="0.25">
      <c r="A50" s="1" t="s">
        <v>33</v>
      </c>
      <c r="B50" s="1" t="s">
        <v>111</v>
      </c>
      <c r="C50">
        <v>76.035544426891718</v>
      </c>
      <c r="D50">
        <v>28</v>
      </c>
      <c r="E50">
        <v>29</v>
      </c>
      <c r="F50">
        <v>7397.0710045871801</v>
      </c>
      <c r="G50" s="1" t="s">
        <v>35</v>
      </c>
      <c r="H50">
        <v>30</v>
      </c>
      <c r="I50">
        <v>16</v>
      </c>
      <c r="J50">
        <v>9</v>
      </c>
      <c r="K50">
        <v>3</v>
      </c>
      <c r="L50" s="1" t="s">
        <v>52</v>
      </c>
      <c r="M50">
        <v>7.0958331565551385</v>
      </c>
      <c r="N50" s="1" t="s">
        <v>70</v>
      </c>
      <c r="O50" s="1" t="s">
        <v>38</v>
      </c>
      <c r="P50">
        <v>9</v>
      </c>
      <c r="Q50">
        <v>109</v>
      </c>
      <c r="R50">
        <v>18</v>
      </c>
      <c r="S50">
        <v>23.126363582464776</v>
      </c>
      <c r="T50" s="1" t="s">
        <v>55</v>
      </c>
      <c r="U50">
        <v>1.6981125407144038</v>
      </c>
      <c r="V50" s="1" t="s">
        <v>56</v>
      </c>
      <c r="W50" s="1" t="s">
        <v>41</v>
      </c>
      <c r="X50">
        <v>768.65191395437</v>
      </c>
    </row>
    <row r="51" spans="1:24" x14ac:dyDescent="0.25">
      <c r="A51" s="1" t="s">
        <v>66</v>
      </c>
      <c r="B51" s="1" t="s">
        <v>112</v>
      </c>
      <c r="C51">
        <v>78.897913205640037</v>
      </c>
      <c r="D51">
        <v>19</v>
      </c>
      <c r="E51">
        <v>99</v>
      </c>
      <c r="F51">
        <v>8001.6132065190022</v>
      </c>
      <c r="G51" s="1" t="s">
        <v>47</v>
      </c>
      <c r="H51">
        <v>97</v>
      </c>
      <c r="I51">
        <v>24</v>
      </c>
      <c r="J51">
        <v>9</v>
      </c>
      <c r="K51">
        <v>6</v>
      </c>
      <c r="L51" s="1" t="s">
        <v>52</v>
      </c>
      <c r="M51">
        <v>2.5056210329009154</v>
      </c>
      <c r="N51" s="1" t="s">
        <v>53</v>
      </c>
      <c r="O51" s="1" t="s">
        <v>59</v>
      </c>
      <c r="P51">
        <v>28</v>
      </c>
      <c r="Q51">
        <v>177</v>
      </c>
      <c r="R51">
        <v>28</v>
      </c>
      <c r="S51">
        <v>14.147815443979217</v>
      </c>
      <c r="T51" s="1" t="s">
        <v>73</v>
      </c>
      <c r="U51">
        <v>2.8258139854001318</v>
      </c>
      <c r="V51" s="1" t="s">
        <v>56</v>
      </c>
      <c r="W51" s="1" t="s">
        <v>57</v>
      </c>
      <c r="X51">
        <v>336.89016851997792</v>
      </c>
    </row>
    <row r="52" spans="1:24" x14ac:dyDescent="0.25">
      <c r="A52" s="1" t="s">
        <v>66</v>
      </c>
      <c r="B52" s="1" t="s">
        <v>113</v>
      </c>
      <c r="C52">
        <v>14.203484264803022</v>
      </c>
      <c r="D52">
        <v>91</v>
      </c>
      <c r="E52">
        <v>633</v>
      </c>
      <c r="F52">
        <v>5910.8853896688988</v>
      </c>
      <c r="G52" s="1" t="s">
        <v>44</v>
      </c>
      <c r="H52">
        <v>31</v>
      </c>
      <c r="I52">
        <v>23</v>
      </c>
      <c r="J52">
        <v>82</v>
      </c>
      <c r="K52">
        <v>10</v>
      </c>
      <c r="L52" s="1" t="s">
        <v>45</v>
      </c>
      <c r="M52">
        <v>6.2478609149759912</v>
      </c>
      <c r="N52" s="1" t="s">
        <v>70</v>
      </c>
      <c r="O52" s="1" t="s">
        <v>59</v>
      </c>
      <c r="P52">
        <v>20</v>
      </c>
      <c r="Q52">
        <v>306</v>
      </c>
      <c r="R52">
        <v>21</v>
      </c>
      <c r="S52">
        <v>45.178757924634517</v>
      </c>
      <c r="T52" s="1" t="s">
        <v>55</v>
      </c>
      <c r="U52">
        <v>4.7548008046711852</v>
      </c>
      <c r="V52" s="1" t="s">
        <v>56</v>
      </c>
      <c r="W52" s="1" t="s">
        <v>41</v>
      </c>
      <c r="X52">
        <v>496.24865029194046</v>
      </c>
    </row>
    <row r="53" spans="1:24" x14ac:dyDescent="0.25">
      <c r="A53" s="1" t="s">
        <v>33</v>
      </c>
      <c r="B53" s="1" t="s">
        <v>114</v>
      </c>
      <c r="C53">
        <v>26.70076097246173</v>
      </c>
      <c r="D53">
        <v>61</v>
      </c>
      <c r="E53">
        <v>154</v>
      </c>
      <c r="F53">
        <v>9866.465457979697</v>
      </c>
      <c r="G53" s="1" t="s">
        <v>64</v>
      </c>
      <c r="H53">
        <v>100</v>
      </c>
      <c r="I53">
        <v>4</v>
      </c>
      <c r="J53">
        <v>52</v>
      </c>
      <c r="K53">
        <v>1</v>
      </c>
      <c r="L53" s="1" t="s">
        <v>45</v>
      </c>
      <c r="M53">
        <v>4.7830005579476653</v>
      </c>
      <c r="N53" s="1" t="s">
        <v>53</v>
      </c>
      <c r="O53" s="1" t="s">
        <v>62</v>
      </c>
      <c r="P53">
        <v>18</v>
      </c>
      <c r="Q53">
        <v>673</v>
      </c>
      <c r="R53">
        <v>28</v>
      </c>
      <c r="S53">
        <v>14.190328344569981</v>
      </c>
      <c r="T53" s="1" t="s">
        <v>39</v>
      </c>
      <c r="U53">
        <v>1.7729511720835571</v>
      </c>
      <c r="V53" s="1" t="s">
        <v>40</v>
      </c>
      <c r="W53" s="1" t="s">
        <v>57</v>
      </c>
      <c r="X53">
        <v>694.98231757944586</v>
      </c>
    </row>
    <row r="54" spans="1:24" x14ac:dyDescent="0.25">
      <c r="A54" s="1" t="s">
        <v>42</v>
      </c>
      <c r="B54" s="1" t="s">
        <v>115</v>
      </c>
      <c r="C54">
        <v>98.031829656465078</v>
      </c>
      <c r="D54">
        <v>1</v>
      </c>
      <c r="E54">
        <v>820</v>
      </c>
      <c r="F54">
        <v>9435.7626089121295</v>
      </c>
      <c r="G54" s="1" t="s">
        <v>64</v>
      </c>
      <c r="H54">
        <v>64</v>
      </c>
      <c r="I54">
        <v>11</v>
      </c>
      <c r="J54">
        <v>11</v>
      </c>
      <c r="K54">
        <v>1</v>
      </c>
      <c r="L54" s="1" t="s">
        <v>36</v>
      </c>
      <c r="M54">
        <v>8.6310521797689468</v>
      </c>
      <c r="N54" s="1" t="s">
        <v>48</v>
      </c>
      <c r="O54" s="1" t="s">
        <v>38</v>
      </c>
      <c r="P54">
        <v>10</v>
      </c>
      <c r="Q54">
        <v>727</v>
      </c>
      <c r="R54">
        <v>27</v>
      </c>
      <c r="S54">
        <v>9.1668491485971515</v>
      </c>
      <c r="T54" s="1" t="s">
        <v>39</v>
      </c>
      <c r="U54">
        <v>2.1224716191438247</v>
      </c>
      <c r="V54" s="1" t="s">
        <v>49</v>
      </c>
      <c r="W54" s="1" t="s">
        <v>50</v>
      </c>
      <c r="X54">
        <v>602.89849883838338</v>
      </c>
    </row>
    <row r="55" spans="1:24" x14ac:dyDescent="0.25">
      <c r="A55" s="1" t="s">
        <v>42</v>
      </c>
      <c r="B55" s="1" t="s">
        <v>116</v>
      </c>
      <c r="C55">
        <v>30.341470711214214</v>
      </c>
      <c r="D55">
        <v>93</v>
      </c>
      <c r="E55">
        <v>242</v>
      </c>
      <c r="F55">
        <v>8232.3348294258212</v>
      </c>
      <c r="G55" s="1" t="s">
        <v>64</v>
      </c>
      <c r="H55">
        <v>96</v>
      </c>
      <c r="I55">
        <v>25</v>
      </c>
      <c r="J55">
        <v>54</v>
      </c>
      <c r="K55">
        <v>3</v>
      </c>
      <c r="L55" s="1" t="s">
        <v>36</v>
      </c>
      <c r="M55">
        <v>1.0134865660958963</v>
      </c>
      <c r="N55" s="1" t="s">
        <v>48</v>
      </c>
      <c r="O55" s="1" t="s">
        <v>59</v>
      </c>
      <c r="P55">
        <v>1</v>
      </c>
      <c r="Q55">
        <v>631</v>
      </c>
      <c r="R55">
        <v>17</v>
      </c>
      <c r="S55">
        <v>83.344058991677969</v>
      </c>
      <c r="T55" s="1" t="s">
        <v>39</v>
      </c>
      <c r="U55">
        <v>1.4103475760760271</v>
      </c>
      <c r="V55" s="1" t="s">
        <v>49</v>
      </c>
      <c r="W55" s="1" t="s">
        <v>41</v>
      </c>
      <c r="X55">
        <v>750.73784066827091</v>
      </c>
    </row>
    <row r="56" spans="1:24" x14ac:dyDescent="0.25">
      <c r="A56" s="1" t="s">
        <v>33</v>
      </c>
      <c r="B56" s="1" t="s">
        <v>117</v>
      </c>
      <c r="C56">
        <v>31.146243160240854</v>
      </c>
      <c r="D56">
        <v>11</v>
      </c>
      <c r="E56">
        <v>622</v>
      </c>
      <c r="F56">
        <v>6088.0214799408586</v>
      </c>
      <c r="G56" s="1" t="s">
        <v>35</v>
      </c>
      <c r="H56">
        <v>33</v>
      </c>
      <c r="I56">
        <v>22</v>
      </c>
      <c r="J56">
        <v>61</v>
      </c>
      <c r="K56">
        <v>3</v>
      </c>
      <c r="L56" s="1" t="s">
        <v>36</v>
      </c>
      <c r="M56">
        <v>4.3051034712876355</v>
      </c>
      <c r="N56" s="1" t="s">
        <v>48</v>
      </c>
      <c r="O56" s="1" t="s">
        <v>54</v>
      </c>
      <c r="P56">
        <v>26</v>
      </c>
      <c r="Q56">
        <v>497</v>
      </c>
      <c r="R56">
        <v>29</v>
      </c>
      <c r="S56">
        <v>30.186023375822508</v>
      </c>
      <c r="T56" s="1" t="s">
        <v>73</v>
      </c>
      <c r="U56">
        <v>2.4787719755397477</v>
      </c>
      <c r="V56" s="1" t="s">
        <v>40</v>
      </c>
      <c r="W56" s="1" t="s">
        <v>41</v>
      </c>
      <c r="X56">
        <v>814.06999658218751</v>
      </c>
    </row>
    <row r="57" spans="1:24" x14ac:dyDescent="0.25">
      <c r="A57" s="1" t="s">
        <v>33</v>
      </c>
      <c r="B57" s="1" t="s">
        <v>118</v>
      </c>
      <c r="C57">
        <v>79.855058340789427</v>
      </c>
      <c r="D57">
        <v>16</v>
      </c>
      <c r="E57">
        <v>701</v>
      </c>
      <c r="F57">
        <v>2925.6751703038126</v>
      </c>
      <c r="G57" s="1" t="s">
        <v>64</v>
      </c>
      <c r="H57">
        <v>97</v>
      </c>
      <c r="I57">
        <v>11</v>
      </c>
      <c r="J57">
        <v>11</v>
      </c>
      <c r="K57">
        <v>5</v>
      </c>
      <c r="L57" s="1" t="s">
        <v>45</v>
      </c>
      <c r="M57">
        <v>5.0143649550309073</v>
      </c>
      <c r="N57" s="1" t="s">
        <v>70</v>
      </c>
      <c r="O57" s="1" t="s">
        <v>59</v>
      </c>
      <c r="P57">
        <v>27</v>
      </c>
      <c r="Q57">
        <v>918</v>
      </c>
      <c r="R57">
        <v>5</v>
      </c>
      <c r="S57">
        <v>30.323545256616502</v>
      </c>
      <c r="T57" s="1" t="s">
        <v>55</v>
      </c>
      <c r="U57">
        <v>4.5489196593963852</v>
      </c>
      <c r="V57" s="1" t="s">
        <v>65</v>
      </c>
      <c r="W57" s="1" t="s">
        <v>41</v>
      </c>
      <c r="X57">
        <v>323.01292795247883</v>
      </c>
    </row>
    <row r="58" spans="1:24" x14ac:dyDescent="0.25">
      <c r="A58" s="1" t="s">
        <v>42</v>
      </c>
      <c r="B58" s="1" t="s">
        <v>119</v>
      </c>
      <c r="C58">
        <v>20.986386037043378</v>
      </c>
      <c r="D58">
        <v>90</v>
      </c>
      <c r="E58">
        <v>93</v>
      </c>
      <c r="F58">
        <v>4767.020484344137</v>
      </c>
      <c r="G58" s="1" t="s">
        <v>35</v>
      </c>
      <c r="H58">
        <v>25</v>
      </c>
      <c r="I58">
        <v>23</v>
      </c>
      <c r="J58">
        <v>83</v>
      </c>
      <c r="K58">
        <v>5</v>
      </c>
      <c r="L58" s="1" t="s">
        <v>52</v>
      </c>
      <c r="M58">
        <v>1.7744297140717396</v>
      </c>
      <c r="N58" s="1" t="s">
        <v>48</v>
      </c>
      <c r="O58" s="1" t="s">
        <v>38</v>
      </c>
      <c r="P58">
        <v>24</v>
      </c>
      <c r="Q58">
        <v>826</v>
      </c>
      <c r="R58">
        <v>28</v>
      </c>
      <c r="S58">
        <v>12.836284572832753</v>
      </c>
      <c r="T58" s="1" t="s">
        <v>73</v>
      </c>
      <c r="U58">
        <v>1.1737554953874541</v>
      </c>
      <c r="V58" s="1" t="s">
        <v>49</v>
      </c>
      <c r="W58" s="1" t="s">
        <v>41</v>
      </c>
      <c r="X58">
        <v>832.21080870602168</v>
      </c>
    </row>
    <row r="59" spans="1:24" x14ac:dyDescent="0.25">
      <c r="A59" s="1" t="s">
        <v>33</v>
      </c>
      <c r="B59" s="1" t="s">
        <v>120</v>
      </c>
      <c r="C59">
        <v>49.263205350734154</v>
      </c>
      <c r="D59">
        <v>65</v>
      </c>
      <c r="E59">
        <v>227</v>
      </c>
      <c r="F59">
        <v>1605.8669003924058</v>
      </c>
      <c r="G59" s="1" t="s">
        <v>47</v>
      </c>
      <c r="H59">
        <v>5</v>
      </c>
      <c r="I59">
        <v>18</v>
      </c>
      <c r="J59">
        <v>51</v>
      </c>
      <c r="K59">
        <v>1</v>
      </c>
      <c r="L59" s="1" t="s">
        <v>36</v>
      </c>
      <c r="M59">
        <v>9.1605585353818704</v>
      </c>
      <c r="N59" s="1" t="s">
        <v>70</v>
      </c>
      <c r="O59" s="1" t="s">
        <v>59</v>
      </c>
      <c r="P59">
        <v>21</v>
      </c>
      <c r="Q59">
        <v>588</v>
      </c>
      <c r="R59">
        <v>25</v>
      </c>
      <c r="S59">
        <v>67.779622987078142</v>
      </c>
      <c r="T59" s="1" t="s">
        <v>39</v>
      </c>
      <c r="U59">
        <v>2.511174830212707</v>
      </c>
      <c r="V59" s="1" t="s">
        <v>56</v>
      </c>
      <c r="W59" s="1" t="s">
        <v>57</v>
      </c>
      <c r="X59">
        <v>482.19123860252813</v>
      </c>
    </row>
    <row r="60" spans="1:24" x14ac:dyDescent="0.25">
      <c r="A60" s="1" t="s">
        <v>42</v>
      </c>
      <c r="B60" s="1" t="s">
        <v>121</v>
      </c>
      <c r="C60">
        <v>59.84156137728931</v>
      </c>
      <c r="D60">
        <v>81</v>
      </c>
      <c r="E60">
        <v>896</v>
      </c>
      <c r="F60">
        <v>2021.1498103371077</v>
      </c>
      <c r="G60" s="1" t="s">
        <v>35</v>
      </c>
      <c r="H60">
        <v>10</v>
      </c>
      <c r="I60">
        <v>5</v>
      </c>
      <c r="J60">
        <v>44</v>
      </c>
      <c r="K60">
        <v>7</v>
      </c>
      <c r="L60" s="1" t="s">
        <v>45</v>
      </c>
      <c r="M60">
        <v>4.9384385647120901</v>
      </c>
      <c r="N60" s="1" t="s">
        <v>37</v>
      </c>
      <c r="O60" s="1" t="s">
        <v>59</v>
      </c>
      <c r="P60">
        <v>18</v>
      </c>
      <c r="Q60">
        <v>396</v>
      </c>
      <c r="R60">
        <v>7</v>
      </c>
      <c r="S60">
        <v>65.047415094691459</v>
      </c>
      <c r="T60" s="1" t="s">
        <v>55</v>
      </c>
      <c r="U60">
        <v>1.7303747198591968</v>
      </c>
      <c r="V60" s="1" t="s">
        <v>40</v>
      </c>
      <c r="W60" s="1" t="s">
        <v>41</v>
      </c>
      <c r="X60">
        <v>110.36433523136472</v>
      </c>
    </row>
    <row r="61" spans="1:24" x14ac:dyDescent="0.25">
      <c r="A61" s="1" t="s">
        <v>66</v>
      </c>
      <c r="B61" s="1" t="s">
        <v>122</v>
      </c>
      <c r="C61">
        <v>63.828398347710966</v>
      </c>
      <c r="D61">
        <v>30</v>
      </c>
      <c r="E61">
        <v>484</v>
      </c>
      <c r="F61">
        <v>1061.618523013288</v>
      </c>
      <c r="G61" s="1" t="s">
        <v>35</v>
      </c>
      <c r="H61">
        <v>100</v>
      </c>
      <c r="I61">
        <v>16</v>
      </c>
      <c r="J61">
        <v>26</v>
      </c>
      <c r="K61">
        <v>7</v>
      </c>
      <c r="L61" s="1" t="s">
        <v>36</v>
      </c>
      <c r="M61">
        <v>7.2937225968677284</v>
      </c>
      <c r="N61" s="1" t="s">
        <v>48</v>
      </c>
      <c r="O61" s="1" t="s">
        <v>54</v>
      </c>
      <c r="P61">
        <v>11</v>
      </c>
      <c r="Q61">
        <v>176</v>
      </c>
      <c r="R61">
        <v>4</v>
      </c>
      <c r="S61">
        <v>1.900762243519458</v>
      </c>
      <c r="T61" s="1" t="s">
        <v>55</v>
      </c>
      <c r="U61">
        <v>0.4471940154638232</v>
      </c>
      <c r="V61" s="1" t="s">
        <v>49</v>
      </c>
      <c r="W61" s="1" t="s">
        <v>57</v>
      </c>
      <c r="X61">
        <v>312.57427361009331</v>
      </c>
    </row>
    <row r="62" spans="1:24" x14ac:dyDescent="0.25">
      <c r="A62" s="1" t="s">
        <v>42</v>
      </c>
      <c r="B62" s="1" t="s">
        <v>123</v>
      </c>
      <c r="C62">
        <v>17.028027920188702</v>
      </c>
      <c r="D62">
        <v>16</v>
      </c>
      <c r="E62">
        <v>380</v>
      </c>
      <c r="F62">
        <v>8864.0843495864356</v>
      </c>
      <c r="G62" s="1" t="s">
        <v>44</v>
      </c>
      <c r="H62">
        <v>41</v>
      </c>
      <c r="I62">
        <v>27</v>
      </c>
      <c r="J62">
        <v>72</v>
      </c>
      <c r="K62">
        <v>8</v>
      </c>
      <c r="L62" s="1" t="s">
        <v>52</v>
      </c>
      <c r="M62">
        <v>4.3813681581023145</v>
      </c>
      <c r="N62" s="1" t="s">
        <v>61</v>
      </c>
      <c r="O62" s="1" t="s">
        <v>38</v>
      </c>
      <c r="P62">
        <v>29</v>
      </c>
      <c r="Q62">
        <v>929</v>
      </c>
      <c r="R62">
        <v>24</v>
      </c>
      <c r="S62">
        <v>87.213057815135684</v>
      </c>
      <c r="T62" s="1" t="s">
        <v>55</v>
      </c>
      <c r="U62">
        <v>2.8530906166490539</v>
      </c>
      <c r="V62" s="1" t="s">
        <v>56</v>
      </c>
      <c r="W62" s="1" t="s">
        <v>57</v>
      </c>
      <c r="X62">
        <v>430.16909697513654</v>
      </c>
    </row>
    <row r="63" spans="1:24" x14ac:dyDescent="0.25">
      <c r="A63" s="1" t="s">
        <v>33</v>
      </c>
      <c r="B63" s="1" t="s">
        <v>124</v>
      </c>
      <c r="C63">
        <v>52.028749903294923</v>
      </c>
      <c r="D63">
        <v>23</v>
      </c>
      <c r="E63">
        <v>117</v>
      </c>
      <c r="F63">
        <v>6885.5893508962527</v>
      </c>
      <c r="G63" s="1" t="s">
        <v>47</v>
      </c>
      <c r="H63">
        <v>32</v>
      </c>
      <c r="I63">
        <v>23</v>
      </c>
      <c r="J63">
        <v>36</v>
      </c>
      <c r="K63">
        <v>7</v>
      </c>
      <c r="L63" s="1" t="s">
        <v>52</v>
      </c>
      <c r="M63">
        <v>9.0303404225219488</v>
      </c>
      <c r="N63" s="1" t="s">
        <v>61</v>
      </c>
      <c r="O63" s="1" t="s">
        <v>54</v>
      </c>
      <c r="P63">
        <v>14</v>
      </c>
      <c r="Q63">
        <v>480</v>
      </c>
      <c r="R63">
        <v>12</v>
      </c>
      <c r="S63">
        <v>78.702393968878894</v>
      </c>
      <c r="T63" s="1" t="s">
        <v>55</v>
      </c>
      <c r="U63">
        <v>4.3674705382050529</v>
      </c>
      <c r="V63" s="1" t="s">
        <v>49</v>
      </c>
      <c r="W63" s="1" t="s">
        <v>57</v>
      </c>
      <c r="X63">
        <v>164.36652824341942</v>
      </c>
    </row>
    <row r="64" spans="1:24" x14ac:dyDescent="0.25">
      <c r="A64" s="1" t="s">
        <v>66</v>
      </c>
      <c r="B64" s="1" t="s">
        <v>125</v>
      </c>
      <c r="C64">
        <v>72.796353955587364</v>
      </c>
      <c r="D64">
        <v>89</v>
      </c>
      <c r="E64">
        <v>270</v>
      </c>
      <c r="F64">
        <v>3899.7468337292244</v>
      </c>
      <c r="G64" s="1" t="s">
        <v>47</v>
      </c>
      <c r="H64">
        <v>86</v>
      </c>
      <c r="I64">
        <v>2</v>
      </c>
      <c r="J64">
        <v>40</v>
      </c>
      <c r="K64">
        <v>7</v>
      </c>
      <c r="L64" s="1" t="s">
        <v>52</v>
      </c>
      <c r="M64">
        <v>7.2917013887767759</v>
      </c>
      <c r="N64" s="1" t="s">
        <v>70</v>
      </c>
      <c r="O64" s="1" t="s">
        <v>38</v>
      </c>
      <c r="P64">
        <v>13</v>
      </c>
      <c r="Q64">
        <v>751</v>
      </c>
      <c r="R64">
        <v>14</v>
      </c>
      <c r="S64">
        <v>21.048642725168644</v>
      </c>
      <c r="T64" s="1" t="s">
        <v>73</v>
      </c>
      <c r="U64">
        <v>1.8740014040443747</v>
      </c>
      <c r="V64" s="1" t="s">
        <v>65</v>
      </c>
      <c r="W64" s="1" t="s">
        <v>50</v>
      </c>
      <c r="X64">
        <v>320.84651575911158</v>
      </c>
    </row>
    <row r="65" spans="1:24" x14ac:dyDescent="0.25">
      <c r="A65" s="1" t="s">
        <v>42</v>
      </c>
      <c r="B65" s="1" t="s">
        <v>126</v>
      </c>
      <c r="C65">
        <v>13.017376785287857</v>
      </c>
      <c r="D65">
        <v>55</v>
      </c>
      <c r="E65">
        <v>246</v>
      </c>
      <c r="F65">
        <v>4256.9491408502254</v>
      </c>
      <c r="G65" s="1" t="s">
        <v>35</v>
      </c>
      <c r="H65">
        <v>54</v>
      </c>
      <c r="I65">
        <v>19</v>
      </c>
      <c r="J65">
        <v>10</v>
      </c>
      <c r="K65">
        <v>4</v>
      </c>
      <c r="L65" s="1" t="s">
        <v>45</v>
      </c>
      <c r="M65">
        <v>2.45793352798733</v>
      </c>
      <c r="N65" s="1" t="s">
        <v>37</v>
      </c>
      <c r="O65" s="1" t="s">
        <v>62</v>
      </c>
      <c r="P65">
        <v>18</v>
      </c>
      <c r="Q65">
        <v>736</v>
      </c>
      <c r="R65">
        <v>10</v>
      </c>
      <c r="S65">
        <v>20.075003975630484</v>
      </c>
      <c r="T65" s="1" t="s">
        <v>39</v>
      </c>
      <c r="U65">
        <v>3.6328432903821337</v>
      </c>
      <c r="V65" s="1" t="s">
        <v>65</v>
      </c>
      <c r="W65" s="1" t="s">
        <v>57</v>
      </c>
      <c r="X65">
        <v>687.28617786641735</v>
      </c>
    </row>
    <row r="66" spans="1:24" x14ac:dyDescent="0.25">
      <c r="A66" s="1" t="s">
        <v>42</v>
      </c>
      <c r="B66" s="1" t="s">
        <v>127</v>
      </c>
      <c r="C66">
        <v>89.634095608135326</v>
      </c>
      <c r="D66">
        <v>11</v>
      </c>
      <c r="E66">
        <v>134</v>
      </c>
      <c r="F66">
        <v>8458.7308783671779</v>
      </c>
      <c r="G66" s="1" t="s">
        <v>44</v>
      </c>
      <c r="H66">
        <v>73</v>
      </c>
      <c r="I66">
        <v>27</v>
      </c>
      <c r="J66">
        <v>75</v>
      </c>
      <c r="K66">
        <v>6</v>
      </c>
      <c r="L66" s="1" t="s">
        <v>52</v>
      </c>
      <c r="M66">
        <v>4.5853534681946524</v>
      </c>
      <c r="N66" s="1" t="s">
        <v>48</v>
      </c>
      <c r="O66" s="1" t="s">
        <v>59</v>
      </c>
      <c r="P66">
        <v>17</v>
      </c>
      <c r="Q66">
        <v>328</v>
      </c>
      <c r="R66">
        <v>6</v>
      </c>
      <c r="S66">
        <v>8.6930424258772874</v>
      </c>
      <c r="T66" s="1" t="s">
        <v>55</v>
      </c>
      <c r="U66">
        <v>0.15948631471751462</v>
      </c>
      <c r="V66" s="1" t="s">
        <v>49</v>
      </c>
      <c r="W66" s="1" t="s">
        <v>50</v>
      </c>
      <c r="X66">
        <v>771.22508468115745</v>
      </c>
    </row>
    <row r="67" spans="1:24" x14ac:dyDescent="0.25">
      <c r="A67" s="1" t="s">
        <v>42</v>
      </c>
      <c r="B67" s="1" t="s">
        <v>128</v>
      </c>
      <c r="C67">
        <v>33.697717206643127</v>
      </c>
      <c r="D67">
        <v>72</v>
      </c>
      <c r="E67">
        <v>457</v>
      </c>
      <c r="F67">
        <v>8354.5796864819949</v>
      </c>
      <c r="G67" s="1" t="s">
        <v>64</v>
      </c>
      <c r="H67">
        <v>57</v>
      </c>
      <c r="I67">
        <v>24</v>
      </c>
      <c r="J67">
        <v>54</v>
      </c>
      <c r="K67">
        <v>8</v>
      </c>
      <c r="L67" s="1" t="s">
        <v>52</v>
      </c>
      <c r="M67">
        <v>6.5805413478845951</v>
      </c>
      <c r="N67" s="1" t="s">
        <v>53</v>
      </c>
      <c r="O67" s="1" t="s">
        <v>54</v>
      </c>
      <c r="P67">
        <v>16</v>
      </c>
      <c r="Q67">
        <v>358</v>
      </c>
      <c r="R67">
        <v>21</v>
      </c>
      <c r="S67">
        <v>1.5972227430506774</v>
      </c>
      <c r="T67" s="1" t="s">
        <v>55</v>
      </c>
      <c r="U67">
        <v>4.911095954842331</v>
      </c>
      <c r="V67" s="1" t="s">
        <v>56</v>
      </c>
      <c r="W67" s="1" t="s">
        <v>50</v>
      </c>
      <c r="X67">
        <v>555.85910367174347</v>
      </c>
    </row>
    <row r="68" spans="1:24" x14ac:dyDescent="0.25">
      <c r="A68" s="1" t="s">
        <v>42</v>
      </c>
      <c r="B68" s="1" t="s">
        <v>129</v>
      </c>
      <c r="C68">
        <v>26.034869773962086</v>
      </c>
      <c r="D68">
        <v>52</v>
      </c>
      <c r="E68">
        <v>704</v>
      </c>
      <c r="F68">
        <v>8367.721618020154</v>
      </c>
      <c r="G68" s="1" t="s">
        <v>44</v>
      </c>
      <c r="H68">
        <v>13</v>
      </c>
      <c r="I68">
        <v>17</v>
      </c>
      <c r="J68">
        <v>19</v>
      </c>
      <c r="K68">
        <v>8</v>
      </c>
      <c r="L68" s="1" t="s">
        <v>45</v>
      </c>
      <c r="M68">
        <v>2.2161427287713633</v>
      </c>
      <c r="N68" s="1" t="s">
        <v>53</v>
      </c>
      <c r="O68" s="1" t="s">
        <v>54</v>
      </c>
      <c r="P68">
        <v>24</v>
      </c>
      <c r="Q68">
        <v>867</v>
      </c>
      <c r="R68">
        <v>28</v>
      </c>
      <c r="S68">
        <v>42.084436738309961</v>
      </c>
      <c r="T68" s="1" t="s">
        <v>55</v>
      </c>
      <c r="U68">
        <v>3.4480632883402618</v>
      </c>
      <c r="V68" s="1" t="s">
        <v>40</v>
      </c>
      <c r="W68" s="1" t="s">
        <v>57</v>
      </c>
      <c r="X68">
        <v>393.84334857842788</v>
      </c>
    </row>
    <row r="69" spans="1:24" x14ac:dyDescent="0.25">
      <c r="A69" s="1" t="s">
        <v>42</v>
      </c>
      <c r="B69" s="1" t="s">
        <v>130</v>
      </c>
      <c r="C69">
        <v>87.755432354001073</v>
      </c>
      <c r="D69">
        <v>16</v>
      </c>
      <c r="E69">
        <v>513</v>
      </c>
      <c r="F69">
        <v>9473.7980325083372</v>
      </c>
      <c r="G69" s="1" t="s">
        <v>47</v>
      </c>
      <c r="H69">
        <v>12</v>
      </c>
      <c r="I69">
        <v>9</v>
      </c>
      <c r="J69">
        <v>71</v>
      </c>
      <c r="K69">
        <v>9</v>
      </c>
      <c r="L69" s="1" t="s">
        <v>52</v>
      </c>
      <c r="M69">
        <v>9.147811544710633</v>
      </c>
      <c r="N69" s="1" t="s">
        <v>48</v>
      </c>
      <c r="O69" s="1" t="s">
        <v>38</v>
      </c>
      <c r="P69">
        <v>10</v>
      </c>
      <c r="Q69">
        <v>198</v>
      </c>
      <c r="R69">
        <v>11</v>
      </c>
      <c r="S69">
        <v>7.0578761469782307</v>
      </c>
      <c r="T69" s="1" t="s">
        <v>73</v>
      </c>
      <c r="U69">
        <v>0.13195544431181483</v>
      </c>
      <c r="V69" s="1" t="s">
        <v>65</v>
      </c>
      <c r="W69" s="1" t="s">
        <v>50</v>
      </c>
      <c r="X69">
        <v>169.2718013847869</v>
      </c>
    </row>
    <row r="70" spans="1:24" x14ac:dyDescent="0.25">
      <c r="A70" s="1" t="s">
        <v>33</v>
      </c>
      <c r="B70" s="1" t="s">
        <v>131</v>
      </c>
      <c r="C70">
        <v>37.931812382790319</v>
      </c>
      <c r="D70">
        <v>29</v>
      </c>
      <c r="E70">
        <v>163</v>
      </c>
      <c r="F70">
        <v>3550.2184327809919</v>
      </c>
      <c r="G70" s="1" t="s">
        <v>35</v>
      </c>
      <c r="H70">
        <v>0</v>
      </c>
      <c r="I70">
        <v>8</v>
      </c>
      <c r="J70">
        <v>58</v>
      </c>
      <c r="K70">
        <v>8</v>
      </c>
      <c r="L70" s="1" t="s">
        <v>36</v>
      </c>
      <c r="M70">
        <v>1.1942518648849991</v>
      </c>
      <c r="N70" s="1" t="s">
        <v>70</v>
      </c>
      <c r="O70" s="1" t="s">
        <v>62</v>
      </c>
      <c r="P70">
        <v>2</v>
      </c>
      <c r="Q70">
        <v>375</v>
      </c>
      <c r="R70">
        <v>18</v>
      </c>
      <c r="S70">
        <v>97.113581563462205</v>
      </c>
      <c r="T70" s="1" t="s">
        <v>55</v>
      </c>
      <c r="U70">
        <v>1.9834678721741801</v>
      </c>
      <c r="V70" s="1" t="s">
        <v>56</v>
      </c>
      <c r="W70" s="1" t="s">
        <v>57</v>
      </c>
      <c r="X70">
        <v>299.70630311810316</v>
      </c>
    </row>
    <row r="71" spans="1:24" x14ac:dyDescent="0.25">
      <c r="A71" s="1" t="s">
        <v>42</v>
      </c>
      <c r="B71" s="1" t="s">
        <v>132</v>
      </c>
      <c r="C71">
        <v>54.865528517069791</v>
      </c>
      <c r="D71">
        <v>62</v>
      </c>
      <c r="E71">
        <v>511</v>
      </c>
      <c r="F71">
        <v>1752.3810874841247</v>
      </c>
      <c r="G71" s="1" t="s">
        <v>35</v>
      </c>
      <c r="H71">
        <v>95</v>
      </c>
      <c r="I71">
        <v>1</v>
      </c>
      <c r="J71">
        <v>27</v>
      </c>
      <c r="K71">
        <v>3</v>
      </c>
      <c r="L71" s="1" t="s">
        <v>36</v>
      </c>
      <c r="M71">
        <v>9.7052867901203488</v>
      </c>
      <c r="N71" s="1" t="s">
        <v>61</v>
      </c>
      <c r="O71" s="1" t="s">
        <v>54</v>
      </c>
      <c r="P71">
        <v>9</v>
      </c>
      <c r="Q71">
        <v>862</v>
      </c>
      <c r="R71">
        <v>7</v>
      </c>
      <c r="S71">
        <v>77.627765812748166</v>
      </c>
      <c r="T71" s="1" t="s">
        <v>39</v>
      </c>
      <c r="U71">
        <v>1.3623879886491086</v>
      </c>
      <c r="V71" s="1" t="s">
        <v>49</v>
      </c>
      <c r="W71" s="1" t="s">
        <v>57</v>
      </c>
      <c r="X71">
        <v>207.66320620857562</v>
      </c>
    </row>
    <row r="72" spans="1:24" x14ac:dyDescent="0.25">
      <c r="A72" s="1" t="s">
        <v>33</v>
      </c>
      <c r="B72" s="1" t="s">
        <v>133</v>
      </c>
      <c r="C72">
        <v>47.914541824058766</v>
      </c>
      <c r="D72">
        <v>90</v>
      </c>
      <c r="E72">
        <v>32</v>
      </c>
      <c r="F72">
        <v>7014.8879872033885</v>
      </c>
      <c r="G72" s="1" t="s">
        <v>44</v>
      </c>
      <c r="H72">
        <v>10</v>
      </c>
      <c r="I72">
        <v>12</v>
      </c>
      <c r="J72">
        <v>22</v>
      </c>
      <c r="K72">
        <v>4</v>
      </c>
      <c r="L72" s="1" t="s">
        <v>36</v>
      </c>
      <c r="M72">
        <v>6.3157177546007226</v>
      </c>
      <c r="N72" s="1" t="s">
        <v>48</v>
      </c>
      <c r="O72" s="1" t="s">
        <v>62</v>
      </c>
      <c r="P72">
        <v>22</v>
      </c>
      <c r="Q72">
        <v>775</v>
      </c>
      <c r="R72">
        <v>16</v>
      </c>
      <c r="S72">
        <v>11.440781823761265</v>
      </c>
      <c r="T72" s="1" t="s">
        <v>73</v>
      </c>
      <c r="U72">
        <v>1.8305755986122314</v>
      </c>
      <c r="V72" s="1" t="s">
        <v>40</v>
      </c>
      <c r="W72" s="1" t="s">
        <v>50</v>
      </c>
      <c r="X72">
        <v>183.27289874871101</v>
      </c>
    </row>
    <row r="73" spans="1:24" x14ac:dyDescent="0.25">
      <c r="A73" s="1" t="s">
        <v>66</v>
      </c>
      <c r="B73" s="1" t="s">
        <v>134</v>
      </c>
      <c r="C73">
        <v>6.3815331627479663</v>
      </c>
      <c r="D73">
        <v>14</v>
      </c>
      <c r="E73">
        <v>637</v>
      </c>
      <c r="F73">
        <v>8180.3370854254426</v>
      </c>
      <c r="G73" s="1" t="s">
        <v>44</v>
      </c>
      <c r="H73">
        <v>76</v>
      </c>
      <c r="I73">
        <v>2</v>
      </c>
      <c r="J73">
        <v>26</v>
      </c>
      <c r="K73">
        <v>6</v>
      </c>
      <c r="L73" s="1" t="s">
        <v>45</v>
      </c>
      <c r="M73">
        <v>9.2281903170525172</v>
      </c>
      <c r="N73" s="1" t="s">
        <v>70</v>
      </c>
      <c r="O73" s="1" t="s">
        <v>62</v>
      </c>
      <c r="P73">
        <v>2</v>
      </c>
      <c r="Q73">
        <v>258</v>
      </c>
      <c r="R73">
        <v>10</v>
      </c>
      <c r="S73">
        <v>30.661677477859556</v>
      </c>
      <c r="T73" s="1" t="s">
        <v>39</v>
      </c>
      <c r="U73">
        <v>2.0787506078749689</v>
      </c>
      <c r="V73" s="1" t="s">
        <v>40</v>
      </c>
      <c r="W73" s="1" t="s">
        <v>57</v>
      </c>
      <c r="X73">
        <v>405.16706788885585</v>
      </c>
    </row>
    <row r="74" spans="1:24" x14ac:dyDescent="0.25">
      <c r="A74" s="1" t="s">
        <v>66</v>
      </c>
      <c r="B74" s="1" t="s">
        <v>135</v>
      </c>
      <c r="C74">
        <v>90.204427520528071</v>
      </c>
      <c r="D74">
        <v>88</v>
      </c>
      <c r="E74">
        <v>478</v>
      </c>
      <c r="F74">
        <v>2633.1219813122557</v>
      </c>
      <c r="G74" s="1" t="s">
        <v>35</v>
      </c>
      <c r="H74">
        <v>57</v>
      </c>
      <c r="I74">
        <v>29</v>
      </c>
      <c r="J74">
        <v>77</v>
      </c>
      <c r="K74">
        <v>9</v>
      </c>
      <c r="L74" s="1" t="s">
        <v>45</v>
      </c>
      <c r="M74">
        <v>6.5996141596895441</v>
      </c>
      <c r="N74" s="1" t="s">
        <v>48</v>
      </c>
      <c r="O74" s="1" t="s">
        <v>62</v>
      </c>
      <c r="P74">
        <v>21</v>
      </c>
      <c r="Q74">
        <v>152</v>
      </c>
      <c r="R74">
        <v>11</v>
      </c>
      <c r="S74">
        <v>55.760492895244212</v>
      </c>
      <c r="T74" s="1" t="s">
        <v>39</v>
      </c>
      <c r="U74">
        <v>3.2133296074383089</v>
      </c>
      <c r="V74" s="1" t="s">
        <v>56</v>
      </c>
      <c r="W74" s="1" t="s">
        <v>41</v>
      </c>
      <c r="X74">
        <v>677.9445698461833</v>
      </c>
    </row>
    <row r="75" spans="1:24" x14ac:dyDescent="0.25">
      <c r="A75" s="1" t="s">
        <v>66</v>
      </c>
      <c r="B75" s="1" t="s">
        <v>136</v>
      </c>
      <c r="C75">
        <v>83.851017681304597</v>
      </c>
      <c r="D75">
        <v>41</v>
      </c>
      <c r="E75">
        <v>375</v>
      </c>
      <c r="F75">
        <v>7910.8869161406856</v>
      </c>
      <c r="G75" s="1" t="s">
        <v>64</v>
      </c>
      <c r="H75">
        <v>17</v>
      </c>
      <c r="I75">
        <v>25</v>
      </c>
      <c r="J75">
        <v>66</v>
      </c>
      <c r="K75">
        <v>5</v>
      </c>
      <c r="L75" s="1" t="s">
        <v>36</v>
      </c>
      <c r="M75">
        <v>1.5129368369160772</v>
      </c>
      <c r="N75" s="1" t="s">
        <v>61</v>
      </c>
      <c r="O75" s="1" t="s">
        <v>71</v>
      </c>
      <c r="P75">
        <v>13</v>
      </c>
      <c r="Q75">
        <v>444</v>
      </c>
      <c r="R75">
        <v>4</v>
      </c>
      <c r="S75">
        <v>46.870238797617155</v>
      </c>
      <c r="T75" s="1" t="s">
        <v>55</v>
      </c>
      <c r="U75">
        <v>4.6205460645137064</v>
      </c>
      <c r="V75" s="1" t="s">
        <v>40</v>
      </c>
      <c r="W75" s="1" t="s">
        <v>57</v>
      </c>
      <c r="X75">
        <v>866.4728001296578</v>
      </c>
    </row>
    <row r="76" spans="1:24" x14ac:dyDescent="0.25">
      <c r="A76" s="1" t="s">
        <v>33</v>
      </c>
      <c r="B76" s="1" t="s">
        <v>137</v>
      </c>
      <c r="C76">
        <v>3.1700114135661548</v>
      </c>
      <c r="D76">
        <v>64</v>
      </c>
      <c r="E76">
        <v>904</v>
      </c>
      <c r="F76">
        <v>5709.9452959692871</v>
      </c>
      <c r="G76" s="1" t="s">
        <v>44</v>
      </c>
      <c r="H76">
        <v>41</v>
      </c>
      <c r="I76">
        <v>6</v>
      </c>
      <c r="J76">
        <v>1</v>
      </c>
      <c r="K76">
        <v>5</v>
      </c>
      <c r="L76" s="1" t="s">
        <v>45</v>
      </c>
      <c r="M76">
        <v>5.2376546500374479</v>
      </c>
      <c r="N76" s="1" t="s">
        <v>61</v>
      </c>
      <c r="O76" s="1" t="s">
        <v>59</v>
      </c>
      <c r="P76">
        <v>1</v>
      </c>
      <c r="Q76">
        <v>919</v>
      </c>
      <c r="R76">
        <v>9</v>
      </c>
      <c r="S76">
        <v>80.580852156447818</v>
      </c>
      <c r="T76" s="1" t="s">
        <v>55</v>
      </c>
      <c r="U76">
        <v>0.39661272410993542</v>
      </c>
      <c r="V76" s="1" t="s">
        <v>56</v>
      </c>
      <c r="W76" s="1" t="s">
        <v>57</v>
      </c>
      <c r="X76">
        <v>341.55265678322337</v>
      </c>
    </row>
    <row r="77" spans="1:24" x14ac:dyDescent="0.25">
      <c r="A77" s="1" t="s">
        <v>42</v>
      </c>
      <c r="B77" s="1" t="s">
        <v>138</v>
      </c>
      <c r="C77">
        <v>92.996884233970661</v>
      </c>
      <c r="D77">
        <v>29</v>
      </c>
      <c r="E77">
        <v>106</v>
      </c>
      <c r="F77">
        <v>1889.073589779335</v>
      </c>
      <c r="G77" s="1" t="s">
        <v>35</v>
      </c>
      <c r="H77">
        <v>16</v>
      </c>
      <c r="I77">
        <v>20</v>
      </c>
      <c r="J77">
        <v>56</v>
      </c>
      <c r="K77">
        <v>10</v>
      </c>
      <c r="L77" s="1" t="s">
        <v>52</v>
      </c>
      <c r="M77">
        <v>2.4738977610454609</v>
      </c>
      <c r="N77" s="1" t="s">
        <v>48</v>
      </c>
      <c r="O77" s="1" t="s">
        <v>71</v>
      </c>
      <c r="P77">
        <v>25</v>
      </c>
      <c r="Q77">
        <v>759</v>
      </c>
      <c r="R77">
        <v>11</v>
      </c>
      <c r="S77">
        <v>48.064782640006591</v>
      </c>
      <c r="T77" s="1" t="s">
        <v>73</v>
      </c>
      <c r="U77">
        <v>2.0300690886687516</v>
      </c>
      <c r="V77" s="1" t="s">
        <v>49</v>
      </c>
      <c r="W77" s="1" t="s">
        <v>50</v>
      </c>
      <c r="X77">
        <v>873.12964801765145</v>
      </c>
    </row>
    <row r="78" spans="1:24" x14ac:dyDescent="0.25">
      <c r="A78" s="1" t="s">
        <v>33</v>
      </c>
      <c r="B78" s="1" t="s">
        <v>139</v>
      </c>
      <c r="C78">
        <v>69.108799547430323</v>
      </c>
      <c r="D78">
        <v>23</v>
      </c>
      <c r="E78">
        <v>241</v>
      </c>
      <c r="F78">
        <v>5328.3759842977579</v>
      </c>
      <c r="G78" s="1" t="s">
        <v>64</v>
      </c>
      <c r="H78">
        <v>38</v>
      </c>
      <c r="I78">
        <v>1</v>
      </c>
      <c r="J78">
        <v>22</v>
      </c>
      <c r="K78">
        <v>10</v>
      </c>
      <c r="L78" s="1" t="s">
        <v>45</v>
      </c>
      <c r="M78">
        <v>7.0545383368369263</v>
      </c>
      <c r="N78" s="1" t="s">
        <v>70</v>
      </c>
      <c r="O78" s="1" t="s">
        <v>62</v>
      </c>
      <c r="P78">
        <v>25</v>
      </c>
      <c r="Q78">
        <v>985</v>
      </c>
      <c r="R78">
        <v>24</v>
      </c>
      <c r="S78">
        <v>64.323597795600222</v>
      </c>
      <c r="T78" s="1" t="s">
        <v>39</v>
      </c>
      <c r="U78">
        <v>2.1800374515822165</v>
      </c>
      <c r="V78" s="1" t="s">
        <v>56</v>
      </c>
      <c r="W78" s="1" t="s">
        <v>57</v>
      </c>
      <c r="X78">
        <v>997.4134501331946</v>
      </c>
    </row>
    <row r="79" spans="1:24" x14ac:dyDescent="0.25">
      <c r="A79" s="1" t="s">
        <v>33</v>
      </c>
      <c r="B79" s="1" t="s">
        <v>140</v>
      </c>
      <c r="C79">
        <v>57.449742958971477</v>
      </c>
      <c r="D79">
        <v>14</v>
      </c>
      <c r="E79">
        <v>359</v>
      </c>
      <c r="F79">
        <v>2483.7601775427947</v>
      </c>
      <c r="G79" s="1" t="s">
        <v>47</v>
      </c>
      <c r="H79">
        <v>96</v>
      </c>
      <c r="I79">
        <v>28</v>
      </c>
      <c r="J79">
        <v>57</v>
      </c>
      <c r="K79">
        <v>4</v>
      </c>
      <c r="L79" s="1" t="s">
        <v>36</v>
      </c>
      <c r="M79">
        <v>6.7809466256178954</v>
      </c>
      <c r="N79" s="1" t="s">
        <v>48</v>
      </c>
      <c r="O79" s="1" t="s">
        <v>54</v>
      </c>
      <c r="P79">
        <v>26</v>
      </c>
      <c r="Q79">
        <v>334</v>
      </c>
      <c r="R79">
        <v>5</v>
      </c>
      <c r="S79">
        <v>42.952444748991837</v>
      </c>
      <c r="T79" s="1" t="s">
        <v>73</v>
      </c>
      <c r="U79">
        <v>3.0551418183075478</v>
      </c>
      <c r="V79" s="1" t="s">
        <v>40</v>
      </c>
      <c r="W79" s="1" t="s">
        <v>41</v>
      </c>
      <c r="X79">
        <v>852.56809891984994</v>
      </c>
    </row>
    <row r="80" spans="1:24" x14ac:dyDescent="0.25">
      <c r="A80" s="1" t="s">
        <v>33</v>
      </c>
      <c r="B80" s="1" t="s">
        <v>141</v>
      </c>
      <c r="C80">
        <v>6.3068831761119153</v>
      </c>
      <c r="D80">
        <v>50</v>
      </c>
      <c r="E80">
        <v>946</v>
      </c>
      <c r="F80">
        <v>1292.4584179377562</v>
      </c>
      <c r="G80" s="1" t="s">
        <v>47</v>
      </c>
      <c r="H80">
        <v>5</v>
      </c>
      <c r="I80">
        <v>4</v>
      </c>
      <c r="J80">
        <v>51</v>
      </c>
      <c r="K80">
        <v>5</v>
      </c>
      <c r="L80" s="1" t="s">
        <v>36</v>
      </c>
      <c r="M80">
        <v>8.4670497708619905</v>
      </c>
      <c r="N80" s="1" t="s">
        <v>53</v>
      </c>
      <c r="O80" s="1" t="s">
        <v>38</v>
      </c>
      <c r="P80">
        <v>25</v>
      </c>
      <c r="Q80">
        <v>858</v>
      </c>
      <c r="R80">
        <v>21</v>
      </c>
      <c r="S80">
        <v>71.126514720403378</v>
      </c>
      <c r="T80" s="1" t="s">
        <v>39</v>
      </c>
      <c r="U80">
        <v>4.0968813324704518</v>
      </c>
      <c r="V80" s="1" t="s">
        <v>65</v>
      </c>
      <c r="W80" s="1" t="s">
        <v>50</v>
      </c>
      <c r="X80">
        <v>323.59220343132216</v>
      </c>
    </row>
    <row r="81" spans="1:24" x14ac:dyDescent="0.25">
      <c r="A81" s="1" t="s">
        <v>33</v>
      </c>
      <c r="B81" s="1" t="s">
        <v>142</v>
      </c>
      <c r="C81">
        <v>57.057031221103223</v>
      </c>
      <c r="D81">
        <v>56</v>
      </c>
      <c r="E81">
        <v>198</v>
      </c>
      <c r="F81">
        <v>7888.7232684270812</v>
      </c>
      <c r="G81" s="1" t="s">
        <v>35</v>
      </c>
      <c r="H81">
        <v>31</v>
      </c>
      <c r="I81">
        <v>25</v>
      </c>
      <c r="J81">
        <v>20</v>
      </c>
      <c r="K81">
        <v>1</v>
      </c>
      <c r="L81" s="1" t="s">
        <v>36</v>
      </c>
      <c r="M81">
        <v>6.4963253642950445</v>
      </c>
      <c r="N81" s="1" t="s">
        <v>37</v>
      </c>
      <c r="O81" s="1" t="s">
        <v>62</v>
      </c>
      <c r="P81">
        <v>5</v>
      </c>
      <c r="Q81">
        <v>228</v>
      </c>
      <c r="R81">
        <v>12</v>
      </c>
      <c r="S81">
        <v>57.87090292403628</v>
      </c>
      <c r="T81" s="1" t="s">
        <v>39</v>
      </c>
      <c r="U81">
        <v>0.16587162748060824</v>
      </c>
      <c r="V81" s="1" t="s">
        <v>49</v>
      </c>
      <c r="W81" s="1" t="s">
        <v>50</v>
      </c>
      <c r="X81">
        <v>351.50421933503867</v>
      </c>
    </row>
    <row r="82" spans="1:24" x14ac:dyDescent="0.25">
      <c r="A82" s="1" t="s">
        <v>42</v>
      </c>
      <c r="B82" s="1" t="s">
        <v>143</v>
      </c>
      <c r="C82">
        <v>91.128318350444331</v>
      </c>
      <c r="D82">
        <v>75</v>
      </c>
      <c r="E82">
        <v>872</v>
      </c>
      <c r="F82">
        <v>8651.6726829820655</v>
      </c>
      <c r="G82" s="1" t="s">
        <v>47</v>
      </c>
      <c r="H82">
        <v>39</v>
      </c>
      <c r="I82">
        <v>14</v>
      </c>
      <c r="J82">
        <v>41</v>
      </c>
      <c r="K82">
        <v>2</v>
      </c>
      <c r="L82" s="1" t="s">
        <v>52</v>
      </c>
      <c r="M82">
        <v>2.8331846794189746</v>
      </c>
      <c r="N82" s="1" t="s">
        <v>37</v>
      </c>
      <c r="O82" s="1" t="s">
        <v>71</v>
      </c>
      <c r="P82">
        <v>8</v>
      </c>
      <c r="Q82">
        <v>202</v>
      </c>
      <c r="R82">
        <v>5</v>
      </c>
      <c r="S82">
        <v>76.961228023820013</v>
      </c>
      <c r="T82" s="1" t="s">
        <v>55</v>
      </c>
      <c r="U82">
        <v>2.8496621985053308</v>
      </c>
      <c r="V82" s="1" t="s">
        <v>65</v>
      </c>
      <c r="W82" s="1" t="s">
        <v>41</v>
      </c>
      <c r="X82">
        <v>787.77985049434449</v>
      </c>
    </row>
    <row r="83" spans="1:24" x14ac:dyDescent="0.25">
      <c r="A83" s="1" t="s">
        <v>33</v>
      </c>
      <c r="B83" s="1" t="s">
        <v>144</v>
      </c>
      <c r="C83">
        <v>72.819206930318217</v>
      </c>
      <c r="D83">
        <v>9</v>
      </c>
      <c r="E83">
        <v>774</v>
      </c>
      <c r="F83">
        <v>4384.4134000458625</v>
      </c>
      <c r="G83" s="1" t="s">
        <v>47</v>
      </c>
      <c r="H83">
        <v>48</v>
      </c>
      <c r="I83">
        <v>6</v>
      </c>
      <c r="J83">
        <v>8</v>
      </c>
      <c r="K83">
        <v>5</v>
      </c>
      <c r="L83" s="1" t="s">
        <v>36</v>
      </c>
      <c r="M83">
        <v>4.0662775015120438</v>
      </c>
      <c r="N83" s="1" t="s">
        <v>37</v>
      </c>
      <c r="O83" s="1" t="s">
        <v>59</v>
      </c>
      <c r="P83">
        <v>28</v>
      </c>
      <c r="Q83">
        <v>698</v>
      </c>
      <c r="R83">
        <v>1</v>
      </c>
      <c r="S83">
        <v>19.789592941903603</v>
      </c>
      <c r="T83" s="1" t="s">
        <v>39</v>
      </c>
      <c r="U83">
        <v>2.5475471215487118</v>
      </c>
      <c r="V83" s="1" t="s">
        <v>56</v>
      </c>
      <c r="W83" s="1" t="s">
        <v>41</v>
      </c>
      <c r="X83">
        <v>276.77833594679885</v>
      </c>
    </row>
    <row r="84" spans="1:24" x14ac:dyDescent="0.25">
      <c r="A84" s="1" t="s">
        <v>42</v>
      </c>
      <c r="B84" s="1" t="s">
        <v>145</v>
      </c>
      <c r="C84">
        <v>17.034930739467917</v>
      </c>
      <c r="D84">
        <v>13</v>
      </c>
      <c r="E84">
        <v>336</v>
      </c>
      <c r="F84">
        <v>2943.3818676094515</v>
      </c>
      <c r="G84" s="1" t="s">
        <v>47</v>
      </c>
      <c r="H84">
        <v>42</v>
      </c>
      <c r="I84">
        <v>19</v>
      </c>
      <c r="J84">
        <v>72</v>
      </c>
      <c r="K84">
        <v>1</v>
      </c>
      <c r="L84" s="1" t="s">
        <v>45</v>
      </c>
      <c r="M84">
        <v>4.7081818735419301</v>
      </c>
      <c r="N84" s="1" t="s">
        <v>70</v>
      </c>
      <c r="O84" s="1" t="s">
        <v>38</v>
      </c>
      <c r="P84">
        <v>6</v>
      </c>
      <c r="Q84">
        <v>955</v>
      </c>
      <c r="R84">
        <v>26</v>
      </c>
      <c r="S84">
        <v>4.4652784349432402</v>
      </c>
      <c r="T84" s="1" t="s">
        <v>39</v>
      </c>
      <c r="U84">
        <v>4.1378770486223573</v>
      </c>
      <c r="V84" s="1" t="s">
        <v>40</v>
      </c>
      <c r="W84" s="1" t="s">
        <v>50</v>
      </c>
      <c r="X84">
        <v>589.97855562804068</v>
      </c>
    </row>
    <row r="85" spans="1:24" x14ac:dyDescent="0.25">
      <c r="A85" s="1" t="s">
        <v>33</v>
      </c>
      <c r="B85" s="1" t="s">
        <v>146</v>
      </c>
      <c r="C85">
        <v>68.911246211606326</v>
      </c>
      <c r="D85">
        <v>82</v>
      </c>
      <c r="E85">
        <v>663</v>
      </c>
      <c r="F85">
        <v>2411.754632110491</v>
      </c>
      <c r="G85" s="1" t="s">
        <v>47</v>
      </c>
      <c r="H85">
        <v>65</v>
      </c>
      <c r="I85">
        <v>24</v>
      </c>
      <c r="J85">
        <v>7</v>
      </c>
      <c r="K85">
        <v>8</v>
      </c>
      <c r="L85" s="1" t="s">
        <v>36</v>
      </c>
      <c r="M85">
        <v>4.9498395779969488</v>
      </c>
      <c r="N85" s="1" t="s">
        <v>48</v>
      </c>
      <c r="O85" s="1" t="s">
        <v>62</v>
      </c>
      <c r="P85">
        <v>20</v>
      </c>
      <c r="Q85">
        <v>443</v>
      </c>
      <c r="R85">
        <v>5</v>
      </c>
      <c r="S85">
        <v>97.730593800533043</v>
      </c>
      <c r="T85" s="1" t="s">
        <v>55</v>
      </c>
      <c r="U85">
        <v>0.77300613406724783</v>
      </c>
      <c r="V85" s="1" t="s">
        <v>40</v>
      </c>
      <c r="W85" s="1" t="s">
        <v>57</v>
      </c>
      <c r="X85">
        <v>682.97101822609329</v>
      </c>
    </row>
    <row r="86" spans="1:24" x14ac:dyDescent="0.25">
      <c r="A86" s="1" t="s">
        <v>33</v>
      </c>
      <c r="B86" s="1" t="s">
        <v>147</v>
      </c>
      <c r="C86">
        <v>89.104367292102253</v>
      </c>
      <c r="D86">
        <v>99</v>
      </c>
      <c r="E86">
        <v>618</v>
      </c>
      <c r="F86">
        <v>2048.2900998487103</v>
      </c>
      <c r="G86" s="1" t="s">
        <v>47</v>
      </c>
      <c r="H86">
        <v>73</v>
      </c>
      <c r="I86">
        <v>26</v>
      </c>
      <c r="J86">
        <v>80</v>
      </c>
      <c r="K86">
        <v>10</v>
      </c>
      <c r="L86" s="1" t="s">
        <v>45</v>
      </c>
      <c r="M86">
        <v>8.381615624922631</v>
      </c>
      <c r="N86" s="1" t="s">
        <v>53</v>
      </c>
      <c r="O86" s="1" t="s">
        <v>71</v>
      </c>
      <c r="P86">
        <v>24</v>
      </c>
      <c r="Q86">
        <v>589</v>
      </c>
      <c r="R86">
        <v>22</v>
      </c>
      <c r="S86">
        <v>33.808636513209095</v>
      </c>
      <c r="T86" s="1" t="s">
        <v>73</v>
      </c>
      <c r="U86">
        <v>4.8434565771180411</v>
      </c>
      <c r="V86" s="1" t="s">
        <v>49</v>
      </c>
      <c r="W86" s="1" t="s">
        <v>41</v>
      </c>
      <c r="X86">
        <v>465.45700596368795</v>
      </c>
    </row>
    <row r="87" spans="1:24" x14ac:dyDescent="0.25">
      <c r="A87" s="1" t="s">
        <v>66</v>
      </c>
      <c r="B87" s="1" t="s">
        <v>148</v>
      </c>
      <c r="C87">
        <v>76.962994415193876</v>
      </c>
      <c r="D87">
        <v>83</v>
      </c>
      <c r="E87">
        <v>25</v>
      </c>
      <c r="F87">
        <v>8684.6130592538575</v>
      </c>
      <c r="G87" s="1" t="s">
        <v>44</v>
      </c>
      <c r="H87">
        <v>15</v>
      </c>
      <c r="I87">
        <v>18</v>
      </c>
      <c r="J87">
        <v>66</v>
      </c>
      <c r="K87">
        <v>2</v>
      </c>
      <c r="L87" s="1" t="s">
        <v>52</v>
      </c>
      <c r="M87">
        <v>8.2491687048717282</v>
      </c>
      <c r="N87" s="1" t="s">
        <v>53</v>
      </c>
      <c r="O87" s="1" t="s">
        <v>71</v>
      </c>
      <c r="P87">
        <v>4</v>
      </c>
      <c r="Q87">
        <v>211</v>
      </c>
      <c r="R87">
        <v>2</v>
      </c>
      <c r="S87">
        <v>69.929345518672307</v>
      </c>
      <c r="T87" s="1" t="s">
        <v>55</v>
      </c>
      <c r="U87">
        <v>1.3744289997457582</v>
      </c>
      <c r="V87" s="1" t="s">
        <v>40</v>
      </c>
      <c r="W87" s="1" t="s">
        <v>41</v>
      </c>
      <c r="X87">
        <v>842.68683000464148</v>
      </c>
    </row>
    <row r="88" spans="1:24" x14ac:dyDescent="0.25">
      <c r="A88" s="1" t="s">
        <v>42</v>
      </c>
      <c r="B88" s="1" t="s">
        <v>149</v>
      </c>
      <c r="C88">
        <v>19.998176940404221</v>
      </c>
      <c r="D88">
        <v>18</v>
      </c>
      <c r="E88">
        <v>223</v>
      </c>
      <c r="F88">
        <v>1229.5910285649834</v>
      </c>
      <c r="G88" s="1" t="s">
        <v>47</v>
      </c>
      <c r="H88">
        <v>32</v>
      </c>
      <c r="I88">
        <v>14</v>
      </c>
      <c r="J88">
        <v>22</v>
      </c>
      <c r="K88">
        <v>6</v>
      </c>
      <c r="L88" s="1" t="s">
        <v>36</v>
      </c>
      <c r="M88">
        <v>1.4543053101535515</v>
      </c>
      <c r="N88" s="1" t="s">
        <v>48</v>
      </c>
      <c r="O88" s="1" t="s">
        <v>38</v>
      </c>
      <c r="P88">
        <v>4</v>
      </c>
      <c r="Q88">
        <v>569</v>
      </c>
      <c r="R88">
        <v>18</v>
      </c>
      <c r="S88">
        <v>74.608969995194684</v>
      </c>
      <c r="T88" s="1" t="s">
        <v>73</v>
      </c>
      <c r="U88">
        <v>2.0515129307662465</v>
      </c>
      <c r="V88" s="1" t="s">
        <v>56</v>
      </c>
      <c r="W88" s="1" t="s">
        <v>57</v>
      </c>
      <c r="X88">
        <v>264.25488983586649</v>
      </c>
    </row>
    <row r="89" spans="1:24" x14ac:dyDescent="0.25">
      <c r="A89" s="1" t="s">
        <v>33</v>
      </c>
      <c r="B89" s="1" t="s">
        <v>150</v>
      </c>
      <c r="C89">
        <v>80.41403665035574</v>
      </c>
      <c r="D89">
        <v>24</v>
      </c>
      <c r="E89">
        <v>79</v>
      </c>
      <c r="F89">
        <v>5133.8467010866916</v>
      </c>
      <c r="G89" s="1" t="s">
        <v>64</v>
      </c>
      <c r="H89">
        <v>5</v>
      </c>
      <c r="I89">
        <v>7</v>
      </c>
      <c r="J89">
        <v>55</v>
      </c>
      <c r="K89">
        <v>10</v>
      </c>
      <c r="L89" s="1" t="s">
        <v>45</v>
      </c>
      <c r="M89">
        <v>6.5758037975485353</v>
      </c>
      <c r="N89" s="1" t="s">
        <v>37</v>
      </c>
      <c r="O89" s="1" t="s">
        <v>71</v>
      </c>
      <c r="P89">
        <v>27</v>
      </c>
      <c r="Q89">
        <v>523</v>
      </c>
      <c r="R89">
        <v>17</v>
      </c>
      <c r="S89">
        <v>28.69699682414317</v>
      </c>
      <c r="T89" s="1" t="s">
        <v>55</v>
      </c>
      <c r="U89">
        <v>3.6937377878392756</v>
      </c>
      <c r="V89" s="1" t="s">
        <v>65</v>
      </c>
      <c r="W89" s="1" t="s">
        <v>41</v>
      </c>
      <c r="X89">
        <v>879.3592177349243</v>
      </c>
    </row>
    <row r="90" spans="1:24" x14ac:dyDescent="0.25">
      <c r="A90" s="1" t="s">
        <v>66</v>
      </c>
      <c r="B90" s="1" t="s">
        <v>151</v>
      </c>
      <c r="C90">
        <v>75.27040697572501</v>
      </c>
      <c r="D90">
        <v>58</v>
      </c>
      <c r="E90">
        <v>737</v>
      </c>
      <c r="F90">
        <v>9444.7420330629793</v>
      </c>
      <c r="G90" s="1" t="s">
        <v>64</v>
      </c>
      <c r="H90">
        <v>60</v>
      </c>
      <c r="I90">
        <v>18</v>
      </c>
      <c r="J90">
        <v>85</v>
      </c>
      <c r="K90">
        <v>7</v>
      </c>
      <c r="L90" s="1" t="s">
        <v>45</v>
      </c>
      <c r="M90">
        <v>3.8012531329310777</v>
      </c>
      <c r="N90" s="1" t="s">
        <v>70</v>
      </c>
      <c r="O90" s="1" t="s">
        <v>38</v>
      </c>
      <c r="P90">
        <v>21</v>
      </c>
      <c r="Q90">
        <v>953</v>
      </c>
      <c r="R90">
        <v>11</v>
      </c>
      <c r="S90">
        <v>68.184919057041171</v>
      </c>
      <c r="T90" s="1" t="s">
        <v>39</v>
      </c>
      <c r="U90">
        <v>0.722204401882931</v>
      </c>
      <c r="V90" s="1" t="s">
        <v>65</v>
      </c>
      <c r="W90" s="1" t="s">
        <v>57</v>
      </c>
      <c r="X90">
        <v>103.91624796070495</v>
      </c>
    </row>
    <row r="91" spans="1:24" x14ac:dyDescent="0.25">
      <c r="A91" s="1" t="s">
        <v>66</v>
      </c>
      <c r="B91" s="1" t="s">
        <v>152</v>
      </c>
      <c r="C91">
        <v>97.760085581938668</v>
      </c>
      <c r="D91">
        <v>10</v>
      </c>
      <c r="E91">
        <v>134</v>
      </c>
      <c r="F91">
        <v>5924.682566853231</v>
      </c>
      <c r="G91" s="1" t="s">
        <v>47</v>
      </c>
      <c r="H91">
        <v>90</v>
      </c>
      <c r="I91">
        <v>1</v>
      </c>
      <c r="J91">
        <v>27</v>
      </c>
      <c r="K91">
        <v>8</v>
      </c>
      <c r="L91" s="1" t="s">
        <v>36</v>
      </c>
      <c r="M91">
        <v>9.9298162452772587</v>
      </c>
      <c r="N91" s="1" t="s">
        <v>48</v>
      </c>
      <c r="O91" s="1" t="s">
        <v>54</v>
      </c>
      <c r="P91">
        <v>23</v>
      </c>
      <c r="Q91">
        <v>370</v>
      </c>
      <c r="R91">
        <v>11</v>
      </c>
      <c r="S91">
        <v>46.603873381644469</v>
      </c>
      <c r="T91" s="1" t="s">
        <v>39</v>
      </c>
      <c r="U91">
        <v>1.9076657339590746</v>
      </c>
      <c r="V91" s="1" t="s">
        <v>56</v>
      </c>
      <c r="W91" s="1" t="s">
        <v>41</v>
      </c>
      <c r="X91">
        <v>517.4999739290605</v>
      </c>
    </row>
    <row r="92" spans="1:24" x14ac:dyDescent="0.25">
      <c r="A92" s="1" t="s">
        <v>42</v>
      </c>
      <c r="B92" s="1" t="s">
        <v>153</v>
      </c>
      <c r="C92">
        <v>13.881913501359142</v>
      </c>
      <c r="D92">
        <v>56</v>
      </c>
      <c r="E92">
        <v>320</v>
      </c>
      <c r="F92">
        <v>9592.6335702803117</v>
      </c>
      <c r="G92" s="1" t="s">
        <v>35</v>
      </c>
      <c r="H92">
        <v>66</v>
      </c>
      <c r="I92">
        <v>18</v>
      </c>
      <c r="J92">
        <v>96</v>
      </c>
      <c r="K92">
        <v>7</v>
      </c>
      <c r="L92" s="1" t="s">
        <v>36</v>
      </c>
      <c r="M92">
        <v>7.6744307081126939</v>
      </c>
      <c r="N92" s="1" t="s">
        <v>37</v>
      </c>
      <c r="O92" s="1" t="s">
        <v>62</v>
      </c>
      <c r="P92">
        <v>8</v>
      </c>
      <c r="Q92">
        <v>585</v>
      </c>
      <c r="R92">
        <v>8</v>
      </c>
      <c r="S92">
        <v>85.675963335797974</v>
      </c>
      <c r="T92" s="1" t="s">
        <v>73</v>
      </c>
      <c r="U92">
        <v>1.2193822244013885</v>
      </c>
      <c r="V92" s="1" t="s">
        <v>56</v>
      </c>
      <c r="W92" s="1" t="s">
        <v>41</v>
      </c>
      <c r="X92">
        <v>990.07847250581119</v>
      </c>
    </row>
    <row r="93" spans="1:24" x14ac:dyDescent="0.25">
      <c r="A93" s="1" t="s">
        <v>66</v>
      </c>
      <c r="B93" s="1" t="s">
        <v>154</v>
      </c>
      <c r="C93">
        <v>62.111965463961788</v>
      </c>
      <c r="D93">
        <v>90</v>
      </c>
      <c r="E93">
        <v>916</v>
      </c>
      <c r="F93">
        <v>1935.2067935075991</v>
      </c>
      <c r="G93" s="1" t="s">
        <v>64</v>
      </c>
      <c r="H93">
        <v>98</v>
      </c>
      <c r="I93">
        <v>22</v>
      </c>
      <c r="J93">
        <v>85</v>
      </c>
      <c r="K93">
        <v>7</v>
      </c>
      <c r="L93" s="1" t="s">
        <v>36</v>
      </c>
      <c r="M93">
        <v>7.4715140844011456</v>
      </c>
      <c r="N93" s="1" t="s">
        <v>61</v>
      </c>
      <c r="O93" s="1" t="s">
        <v>59</v>
      </c>
      <c r="P93">
        <v>5</v>
      </c>
      <c r="Q93">
        <v>207</v>
      </c>
      <c r="R93">
        <v>28</v>
      </c>
      <c r="S93">
        <v>39.772882502339975</v>
      </c>
      <c r="T93" s="1" t="s">
        <v>39</v>
      </c>
      <c r="U93">
        <v>0.62600185820939458</v>
      </c>
      <c r="V93" s="1" t="s">
        <v>56</v>
      </c>
      <c r="W93" s="1" t="s">
        <v>41</v>
      </c>
      <c r="X93">
        <v>996.77831495062378</v>
      </c>
    </row>
    <row r="94" spans="1:24" x14ac:dyDescent="0.25">
      <c r="A94" s="1" t="s">
        <v>66</v>
      </c>
      <c r="B94" s="1" t="s">
        <v>155</v>
      </c>
      <c r="C94">
        <v>47.714233075820232</v>
      </c>
      <c r="D94">
        <v>44</v>
      </c>
      <c r="E94">
        <v>276</v>
      </c>
      <c r="F94">
        <v>2100.1297546259366</v>
      </c>
      <c r="G94" s="1" t="s">
        <v>64</v>
      </c>
      <c r="H94">
        <v>90</v>
      </c>
      <c r="I94">
        <v>25</v>
      </c>
      <c r="J94">
        <v>10</v>
      </c>
      <c r="K94">
        <v>8</v>
      </c>
      <c r="L94" s="1" t="s">
        <v>36</v>
      </c>
      <c r="M94">
        <v>4.4695000261236011</v>
      </c>
      <c r="N94" s="1" t="s">
        <v>70</v>
      </c>
      <c r="O94" s="1" t="s">
        <v>38</v>
      </c>
      <c r="P94">
        <v>4</v>
      </c>
      <c r="Q94">
        <v>671</v>
      </c>
      <c r="R94">
        <v>29</v>
      </c>
      <c r="S94">
        <v>62.612690395614344</v>
      </c>
      <c r="T94" s="1" t="s">
        <v>73</v>
      </c>
      <c r="U94">
        <v>0.33343182522473924</v>
      </c>
      <c r="V94" s="1" t="s">
        <v>56</v>
      </c>
      <c r="W94" s="1" t="s">
        <v>41</v>
      </c>
      <c r="X94">
        <v>230.09278253676294</v>
      </c>
    </row>
    <row r="95" spans="1:24" x14ac:dyDescent="0.25">
      <c r="A95" s="1" t="s">
        <v>33</v>
      </c>
      <c r="B95" s="1" t="s">
        <v>156</v>
      </c>
      <c r="C95">
        <v>69.290831002905492</v>
      </c>
      <c r="D95">
        <v>88</v>
      </c>
      <c r="E95">
        <v>114</v>
      </c>
      <c r="F95">
        <v>4531.4021336919095</v>
      </c>
      <c r="G95" s="1" t="s">
        <v>47</v>
      </c>
      <c r="H95">
        <v>63</v>
      </c>
      <c r="I95">
        <v>17</v>
      </c>
      <c r="J95">
        <v>66</v>
      </c>
      <c r="K95">
        <v>1</v>
      </c>
      <c r="L95" s="1" t="s">
        <v>52</v>
      </c>
      <c r="M95">
        <v>7.0064320590043945</v>
      </c>
      <c r="N95" s="1" t="s">
        <v>61</v>
      </c>
      <c r="O95" s="1" t="s">
        <v>71</v>
      </c>
      <c r="P95">
        <v>21</v>
      </c>
      <c r="Q95">
        <v>824</v>
      </c>
      <c r="R95">
        <v>20</v>
      </c>
      <c r="S95">
        <v>35.633652343343876</v>
      </c>
      <c r="T95" s="1" t="s">
        <v>55</v>
      </c>
      <c r="U95">
        <v>4.1657817954241452</v>
      </c>
      <c r="V95" s="1" t="s">
        <v>49</v>
      </c>
      <c r="W95" s="1" t="s">
        <v>57</v>
      </c>
      <c r="X95">
        <v>823.52384588815585</v>
      </c>
    </row>
    <row r="96" spans="1:24" x14ac:dyDescent="0.25">
      <c r="A96" s="1" t="s">
        <v>66</v>
      </c>
      <c r="B96" s="1" t="s">
        <v>157</v>
      </c>
      <c r="C96">
        <v>3.0376887246314141</v>
      </c>
      <c r="D96">
        <v>97</v>
      </c>
      <c r="E96">
        <v>987</v>
      </c>
      <c r="F96">
        <v>7888.3565466618729</v>
      </c>
      <c r="G96" s="1" t="s">
        <v>47</v>
      </c>
      <c r="H96">
        <v>77</v>
      </c>
      <c r="I96">
        <v>26</v>
      </c>
      <c r="J96">
        <v>72</v>
      </c>
      <c r="K96">
        <v>9</v>
      </c>
      <c r="L96" s="1" t="s">
        <v>36</v>
      </c>
      <c r="M96">
        <v>6.9429459420325808</v>
      </c>
      <c r="N96" s="1" t="s">
        <v>70</v>
      </c>
      <c r="O96" s="1" t="s">
        <v>59</v>
      </c>
      <c r="P96">
        <v>12</v>
      </c>
      <c r="Q96">
        <v>908</v>
      </c>
      <c r="R96">
        <v>14</v>
      </c>
      <c r="S96">
        <v>60.387378614862122</v>
      </c>
      <c r="T96" s="1" t="s">
        <v>73</v>
      </c>
      <c r="U96">
        <v>1.4636074984727798</v>
      </c>
      <c r="V96" s="1" t="s">
        <v>56</v>
      </c>
      <c r="W96" s="1" t="s">
        <v>41</v>
      </c>
      <c r="X96">
        <v>846.66525698669477</v>
      </c>
    </row>
    <row r="97" spans="1:24" x14ac:dyDescent="0.25">
      <c r="A97" s="1" t="s">
        <v>33</v>
      </c>
      <c r="B97" s="1" t="s">
        <v>158</v>
      </c>
      <c r="C97">
        <v>77.903927219447752</v>
      </c>
      <c r="D97">
        <v>65</v>
      </c>
      <c r="E97">
        <v>672</v>
      </c>
      <c r="F97">
        <v>7386.3639440486641</v>
      </c>
      <c r="G97" s="1" t="s">
        <v>47</v>
      </c>
      <c r="H97">
        <v>15</v>
      </c>
      <c r="I97">
        <v>14</v>
      </c>
      <c r="J97">
        <v>26</v>
      </c>
      <c r="K97">
        <v>9</v>
      </c>
      <c r="L97" s="1" t="s">
        <v>36</v>
      </c>
      <c r="M97">
        <v>8.6303388696027543</v>
      </c>
      <c r="N97" s="1" t="s">
        <v>61</v>
      </c>
      <c r="O97" s="1" t="s">
        <v>38</v>
      </c>
      <c r="P97">
        <v>18</v>
      </c>
      <c r="Q97">
        <v>450</v>
      </c>
      <c r="R97">
        <v>26</v>
      </c>
      <c r="S97">
        <v>58.890685768589982</v>
      </c>
      <c r="T97" s="1" t="s">
        <v>39</v>
      </c>
      <c r="U97">
        <v>1.2108821295850665</v>
      </c>
      <c r="V97" s="1" t="s">
        <v>49</v>
      </c>
      <c r="W97" s="1" t="s">
        <v>57</v>
      </c>
      <c r="X97">
        <v>778.8642413766479</v>
      </c>
    </row>
    <row r="98" spans="1:24" x14ac:dyDescent="0.25">
      <c r="A98" s="1" t="s">
        <v>66</v>
      </c>
      <c r="B98" s="1" t="s">
        <v>159</v>
      </c>
      <c r="C98">
        <v>24.42313142037338</v>
      </c>
      <c r="D98">
        <v>29</v>
      </c>
      <c r="E98">
        <v>324</v>
      </c>
      <c r="F98">
        <v>7698.4247656321168</v>
      </c>
      <c r="G98" s="1" t="s">
        <v>35</v>
      </c>
      <c r="H98">
        <v>67</v>
      </c>
      <c r="I98">
        <v>2</v>
      </c>
      <c r="J98">
        <v>32</v>
      </c>
      <c r="K98">
        <v>3</v>
      </c>
      <c r="L98" s="1" t="s">
        <v>52</v>
      </c>
      <c r="M98">
        <v>5.3528780439968093</v>
      </c>
      <c r="N98" s="1" t="s">
        <v>37</v>
      </c>
      <c r="O98" s="1" t="s">
        <v>38</v>
      </c>
      <c r="P98">
        <v>28</v>
      </c>
      <c r="Q98">
        <v>648</v>
      </c>
      <c r="R98">
        <v>28</v>
      </c>
      <c r="S98">
        <v>17.80375633139127</v>
      </c>
      <c r="T98" s="1" t="s">
        <v>39</v>
      </c>
      <c r="U98">
        <v>3.8720476814821332</v>
      </c>
      <c r="V98" s="1" t="s">
        <v>40</v>
      </c>
      <c r="W98" s="1" t="s">
        <v>57</v>
      </c>
      <c r="X98">
        <v>188.74214114905698</v>
      </c>
    </row>
    <row r="99" spans="1:24" x14ac:dyDescent="0.25">
      <c r="A99" s="1" t="s">
        <v>33</v>
      </c>
      <c r="B99" s="1" t="s">
        <v>160</v>
      </c>
      <c r="C99">
        <v>3.5261112591434158</v>
      </c>
      <c r="D99">
        <v>56</v>
      </c>
      <c r="E99">
        <v>62</v>
      </c>
      <c r="F99">
        <v>4370.9165799845359</v>
      </c>
      <c r="G99" s="1" t="s">
        <v>64</v>
      </c>
      <c r="H99">
        <v>46</v>
      </c>
      <c r="I99">
        <v>19</v>
      </c>
      <c r="J99">
        <v>4</v>
      </c>
      <c r="K99">
        <v>9</v>
      </c>
      <c r="L99" s="1" t="s">
        <v>45</v>
      </c>
      <c r="M99">
        <v>7.9048456112096748</v>
      </c>
      <c r="N99" s="1" t="s">
        <v>61</v>
      </c>
      <c r="O99" s="1" t="s">
        <v>38</v>
      </c>
      <c r="P99">
        <v>10</v>
      </c>
      <c r="Q99">
        <v>535</v>
      </c>
      <c r="R99">
        <v>13</v>
      </c>
      <c r="S99">
        <v>65.765155926367456</v>
      </c>
      <c r="T99" s="1" t="s">
        <v>55</v>
      </c>
      <c r="U99">
        <v>3.3762378347179811</v>
      </c>
      <c r="V99" s="1" t="s">
        <v>40</v>
      </c>
      <c r="W99" s="1" t="s">
        <v>57</v>
      </c>
      <c r="X99">
        <v>540.13242286796776</v>
      </c>
    </row>
    <row r="100" spans="1:24" x14ac:dyDescent="0.25">
      <c r="A100" s="1" t="s">
        <v>42</v>
      </c>
      <c r="B100" s="1" t="s">
        <v>161</v>
      </c>
      <c r="C100">
        <v>19.754604866878601</v>
      </c>
      <c r="D100">
        <v>43</v>
      </c>
      <c r="E100">
        <v>913</v>
      </c>
      <c r="F100">
        <v>8525.9525596835265</v>
      </c>
      <c r="G100" s="1" t="s">
        <v>44</v>
      </c>
      <c r="H100">
        <v>53</v>
      </c>
      <c r="I100">
        <v>1</v>
      </c>
      <c r="J100">
        <v>27</v>
      </c>
      <c r="K100">
        <v>7</v>
      </c>
      <c r="L100" s="1" t="s">
        <v>36</v>
      </c>
      <c r="M100">
        <v>1.4098010951380731</v>
      </c>
      <c r="N100" s="1" t="s">
        <v>53</v>
      </c>
      <c r="O100" s="1" t="s">
        <v>71</v>
      </c>
      <c r="P100">
        <v>28</v>
      </c>
      <c r="Q100">
        <v>581</v>
      </c>
      <c r="R100">
        <v>9</v>
      </c>
      <c r="S100">
        <v>5.604690864371781</v>
      </c>
      <c r="T100" s="1" t="s">
        <v>39</v>
      </c>
      <c r="U100">
        <v>2.9081221693512611</v>
      </c>
      <c r="V100" s="1" t="s">
        <v>56</v>
      </c>
      <c r="W100" s="1" t="s">
        <v>57</v>
      </c>
      <c r="X100">
        <v>882.19886354704147</v>
      </c>
    </row>
    <row r="101" spans="1:24" x14ac:dyDescent="0.25">
      <c r="A101" s="1" t="s">
        <v>33</v>
      </c>
      <c r="B101" s="1" t="s">
        <v>162</v>
      </c>
      <c r="C101">
        <v>68.517832699276639</v>
      </c>
      <c r="D101">
        <v>17</v>
      </c>
      <c r="E101">
        <v>627</v>
      </c>
      <c r="F101">
        <v>9185.1858291817043</v>
      </c>
      <c r="G101" s="1" t="s">
        <v>47</v>
      </c>
      <c r="H101">
        <v>55</v>
      </c>
      <c r="I101">
        <v>8</v>
      </c>
      <c r="J101">
        <v>59</v>
      </c>
      <c r="K101">
        <v>6</v>
      </c>
      <c r="L101" s="1" t="s">
        <v>36</v>
      </c>
      <c r="M101">
        <v>1.3110237561206226</v>
      </c>
      <c r="N101" s="1" t="s">
        <v>70</v>
      </c>
      <c r="O101" s="1" t="s">
        <v>71</v>
      </c>
      <c r="P101">
        <v>29</v>
      </c>
      <c r="Q101">
        <v>921</v>
      </c>
      <c r="R101">
        <v>2</v>
      </c>
      <c r="S101">
        <v>38.07289852062604</v>
      </c>
      <c r="T101" s="1" t="s">
        <v>55</v>
      </c>
      <c r="U101">
        <v>0.34602729070550342</v>
      </c>
      <c r="V101" s="1" t="s">
        <v>56</v>
      </c>
      <c r="W101" s="1" t="s">
        <v>41</v>
      </c>
      <c r="X101">
        <v>210.74300896424614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7456-7769-4831-A8F8-3347BF5EF79A}">
  <dimension ref="A1:B5"/>
  <sheetViews>
    <sheetView workbookViewId="0">
      <selection activeCell="L29" sqref="L29"/>
    </sheetView>
  </sheetViews>
  <sheetFormatPr defaultRowHeight="15" x14ac:dyDescent="0.25"/>
  <cols>
    <col min="1" max="1" width="13.42578125" bestFit="1" customWidth="1"/>
    <col min="2" max="2" width="25.85546875" bestFit="1" customWidth="1"/>
  </cols>
  <sheetData>
    <row r="1" spans="1:2" x14ac:dyDescent="0.25">
      <c r="A1" s="3" t="s">
        <v>163</v>
      </c>
      <c r="B1" t="s">
        <v>165</v>
      </c>
    </row>
    <row r="2" spans="1:2" x14ac:dyDescent="0.25">
      <c r="A2" s="4" t="s">
        <v>66</v>
      </c>
      <c r="B2" s="1">
        <v>161521.26599948312</v>
      </c>
    </row>
    <row r="3" spans="1:2" x14ac:dyDescent="0.25">
      <c r="A3" s="4" t="s">
        <v>33</v>
      </c>
      <c r="B3" s="1">
        <v>174455.39060546231</v>
      </c>
    </row>
    <row r="4" spans="1:2" x14ac:dyDescent="0.25">
      <c r="A4" s="4" t="s">
        <v>42</v>
      </c>
      <c r="B4" s="1">
        <v>241628.16213306325</v>
      </c>
    </row>
    <row r="5" spans="1:2" x14ac:dyDescent="0.25">
      <c r="A5" s="4" t="s">
        <v>164</v>
      </c>
      <c r="B5" s="1">
        <v>577604.81873800862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F0E8C-DBD8-4FCC-8924-3584E8DEC4F4}">
  <dimension ref="A1:B7"/>
  <sheetViews>
    <sheetView workbookViewId="0">
      <selection activeCell="B5" sqref="B5"/>
    </sheetView>
  </sheetViews>
  <sheetFormatPr defaultRowHeight="15" x14ac:dyDescent="0.25"/>
  <cols>
    <col min="1" max="1" width="13.42578125" bestFit="1" customWidth="1"/>
    <col min="2" max="2" width="22.42578125" bestFit="1" customWidth="1"/>
  </cols>
  <sheetData>
    <row r="1" spans="1:2" x14ac:dyDescent="0.25">
      <c r="A1" s="3" t="s">
        <v>163</v>
      </c>
      <c r="B1" t="s">
        <v>166</v>
      </c>
    </row>
    <row r="2" spans="1:2" x14ac:dyDescent="0.25">
      <c r="A2" s="4" t="s">
        <v>48</v>
      </c>
      <c r="B2" s="1">
        <v>1.8036297116882525</v>
      </c>
    </row>
    <row r="3" spans="1:2" x14ac:dyDescent="0.25">
      <c r="A3" s="4" t="s">
        <v>70</v>
      </c>
      <c r="B3" s="1">
        <v>2.3627501450718813</v>
      </c>
    </row>
    <row r="4" spans="1:2" x14ac:dyDescent="0.25">
      <c r="A4" s="4" t="s">
        <v>37</v>
      </c>
      <c r="B4" s="1">
        <v>2.4657860307644701</v>
      </c>
    </row>
    <row r="5" spans="1:2" x14ac:dyDescent="0.25">
      <c r="A5" s="4" t="s">
        <v>61</v>
      </c>
      <c r="B5" s="1">
        <v>2.3373974005913398</v>
      </c>
    </row>
    <row r="6" spans="1:2" x14ac:dyDescent="0.25">
      <c r="A6" s="4" t="s">
        <v>53</v>
      </c>
      <c r="B6" s="1">
        <v>2.6654083441492014</v>
      </c>
    </row>
    <row r="7" spans="1:2" x14ac:dyDescent="0.25">
      <c r="A7" s="4" t="s">
        <v>164</v>
      </c>
      <c r="B7" s="1">
        <v>2.2771579927396108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21146-57B6-4DE7-BBA7-19D1C614F22E}">
  <dimension ref="A1:B6"/>
  <sheetViews>
    <sheetView workbookViewId="0">
      <selection activeCell="B5" sqref="B5"/>
    </sheetView>
  </sheetViews>
  <sheetFormatPr defaultRowHeight="15" x14ac:dyDescent="0.25"/>
  <cols>
    <col min="1" max="1" width="13.42578125" bestFit="1" customWidth="1"/>
    <col min="2" max="2" width="24.42578125" bestFit="1" customWidth="1"/>
  </cols>
  <sheetData>
    <row r="1" spans="1:2" x14ac:dyDescent="0.25">
      <c r="A1" s="3" t="s">
        <v>163</v>
      </c>
      <c r="B1" t="s">
        <v>167</v>
      </c>
    </row>
    <row r="2" spans="1:2" x14ac:dyDescent="0.25">
      <c r="A2" s="4" t="s">
        <v>49</v>
      </c>
      <c r="B2" s="1">
        <v>6.0178393777286185</v>
      </c>
    </row>
    <row r="3" spans="1:2" x14ac:dyDescent="0.25">
      <c r="A3" s="4" t="s">
        <v>56</v>
      </c>
      <c r="B3" s="1">
        <v>5.4690979361028607</v>
      </c>
    </row>
    <row r="4" spans="1:2" x14ac:dyDescent="0.25">
      <c r="A4" s="4" t="s">
        <v>40</v>
      </c>
      <c r="B4" s="1">
        <v>5.5421153900457982</v>
      </c>
    </row>
    <row r="5" spans="1:2" x14ac:dyDescent="0.25">
      <c r="A5" s="4" t="s">
        <v>65</v>
      </c>
      <c r="B5" s="1">
        <v>4.9702938152239042</v>
      </c>
    </row>
    <row r="6" spans="1:2" x14ac:dyDescent="0.25">
      <c r="A6" s="4" t="s">
        <v>164</v>
      </c>
      <c r="B6" s="1">
        <v>5.5481490720195872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ADE1-397B-406E-AB3D-51476DB55544}">
  <dimension ref="A1:C5"/>
  <sheetViews>
    <sheetView workbookViewId="0">
      <selection activeCell="B3" sqref="B3"/>
    </sheetView>
  </sheetViews>
  <sheetFormatPr defaultRowHeight="15" x14ac:dyDescent="0.25"/>
  <cols>
    <col min="1" max="1" width="13.42578125" bestFit="1" customWidth="1"/>
    <col min="2" max="2" width="22.140625" bestFit="1" customWidth="1"/>
    <col min="3" max="3" width="30.7109375" bestFit="1" customWidth="1"/>
  </cols>
  <sheetData>
    <row r="1" spans="1:3" x14ac:dyDescent="0.25">
      <c r="A1" s="3" t="s">
        <v>163</v>
      </c>
      <c r="B1" t="s">
        <v>169</v>
      </c>
      <c r="C1" t="s">
        <v>168</v>
      </c>
    </row>
    <row r="2" spans="1:3" x14ac:dyDescent="0.25">
      <c r="A2" s="4" t="s">
        <v>66</v>
      </c>
      <c r="B2" s="1">
        <v>58.653846153846153</v>
      </c>
      <c r="C2" s="1">
        <v>11757</v>
      </c>
    </row>
    <row r="3" spans="1:3" x14ac:dyDescent="0.25">
      <c r="A3" s="4" t="s">
        <v>33</v>
      </c>
      <c r="B3" s="1">
        <v>48.352941176470587</v>
      </c>
      <c r="C3" s="1">
        <v>13611</v>
      </c>
    </row>
    <row r="4" spans="1:3" x14ac:dyDescent="0.25">
      <c r="A4" s="4" t="s">
        <v>42</v>
      </c>
      <c r="B4" s="1">
        <v>40.200000000000003</v>
      </c>
      <c r="C4" s="1">
        <v>20731</v>
      </c>
    </row>
    <row r="5" spans="1:3" x14ac:dyDescent="0.25">
      <c r="A5" s="4" t="s">
        <v>164</v>
      </c>
      <c r="B5" s="1">
        <v>47.77</v>
      </c>
      <c r="C5" s="1">
        <v>46099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20B1-67A0-43BF-A9F1-DD2D58684113}">
  <dimension ref="A1:C5"/>
  <sheetViews>
    <sheetView workbookViewId="0">
      <selection activeCell="B3" sqref="B3"/>
    </sheetView>
  </sheetViews>
  <sheetFormatPr defaultRowHeight="15" x14ac:dyDescent="0.25"/>
  <cols>
    <col min="1" max="1" width="13.42578125" bestFit="1" customWidth="1"/>
    <col min="2" max="2" width="29.7109375" bestFit="1" customWidth="1"/>
    <col min="3" max="3" width="25.85546875" bestFit="1" customWidth="1"/>
  </cols>
  <sheetData>
    <row r="1" spans="1:3" x14ac:dyDescent="0.25">
      <c r="A1" s="3" t="s">
        <v>163</v>
      </c>
      <c r="B1" t="s">
        <v>170</v>
      </c>
      <c r="C1" t="s">
        <v>165</v>
      </c>
    </row>
    <row r="2" spans="1:3" x14ac:dyDescent="0.25">
      <c r="A2" s="4" t="s">
        <v>66</v>
      </c>
      <c r="B2" s="1">
        <v>43.052740496493421</v>
      </c>
      <c r="C2" s="1">
        <v>161521.26599948312</v>
      </c>
    </row>
    <row r="3" spans="1:3" x14ac:dyDescent="0.25">
      <c r="A3" s="4" t="s">
        <v>33</v>
      </c>
      <c r="B3" s="1">
        <v>48.457993420627254</v>
      </c>
      <c r="C3" s="1">
        <v>174455.39060546231</v>
      </c>
    </row>
    <row r="4" spans="1:3" x14ac:dyDescent="0.25">
      <c r="A4" s="4" t="s">
        <v>42</v>
      </c>
      <c r="B4" s="1">
        <v>48.993157373420914</v>
      </c>
      <c r="C4" s="1">
        <v>241628.16213306325</v>
      </c>
    </row>
    <row r="5" spans="1:3" x14ac:dyDescent="0.25">
      <c r="A5" s="4" t="s">
        <v>164</v>
      </c>
      <c r="B5" s="1">
        <v>47.266693241469909</v>
      </c>
      <c r="C5" s="1">
        <v>577604.81873800862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828FC-C729-4882-A3F5-429D609CA847}">
  <dimension ref="A1:B14"/>
  <sheetViews>
    <sheetView workbookViewId="0">
      <selection activeCell="B4" sqref="B4"/>
    </sheetView>
  </sheetViews>
  <sheetFormatPr defaultRowHeight="15" x14ac:dyDescent="0.25"/>
  <cols>
    <col min="1" max="1" width="13.42578125" bestFit="1" customWidth="1"/>
    <col min="2" max="3" width="12.85546875" bestFit="1" customWidth="1"/>
  </cols>
  <sheetData>
    <row r="1" spans="1:2" x14ac:dyDescent="0.25">
      <c r="A1" s="3" t="s">
        <v>163</v>
      </c>
      <c r="B1" t="s">
        <v>171</v>
      </c>
    </row>
    <row r="2" spans="1:2" x14ac:dyDescent="0.25">
      <c r="A2" s="4" t="s">
        <v>66</v>
      </c>
      <c r="B2" s="1"/>
    </row>
    <row r="3" spans="1:2" x14ac:dyDescent="0.25">
      <c r="A3" s="5" t="s">
        <v>55</v>
      </c>
      <c r="B3" s="1">
        <v>10</v>
      </c>
    </row>
    <row r="4" spans="1:2" x14ac:dyDescent="0.25">
      <c r="A4" s="5" t="s">
        <v>73</v>
      </c>
      <c r="B4" s="1">
        <v>6</v>
      </c>
    </row>
    <row r="5" spans="1:2" x14ac:dyDescent="0.25">
      <c r="A5" s="5" t="s">
        <v>39</v>
      </c>
      <c r="B5" s="1">
        <v>10</v>
      </c>
    </row>
    <row r="6" spans="1:2" x14ac:dyDescent="0.25">
      <c r="A6" s="4" t="s">
        <v>33</v>
      </c>
      <c r="B6" s="1"/>
    </row>
    <row r="7" spans="1:2" x14ac:dyDescent="0.25">
      <c r="A7" s="5" t="s">
        <v>55</v>
      </c>
      <c r="B7" s="1">
        <v>13</v>
      </c>
    </row>
    <row r="8" spans="1:2" x14ac:dyDescent="0.25">
      <c r="A8" s="5" t="s">
        <v>73</v>
      </c>
      <c r="B8" s="1">
        <v>6</v>
      </c>
    </row>
    <row r="9" spans="1:2" x14ac:dyDescent="0.25">
      <c r="A9" s="5" t="s">
        <v>39</v>
      </c>
      <c r="B9" s="1">
        <v>15</v>
      </c>
    </row>
    <row r="10" spans="1:2" x14ac:dyDescent="0.25">
      <c r="A10" s="4" t="s">
        <v>42</v>
      </c>
      <c r="B10" s="1"/>
    </row>
    <row r="11" spans="1:2" x14ac:dyDescent="0.25">
      <c r="A11" s="5" t="s">
        <v>55</v>
      </c>
      <c r="B11" s="1">
        <v>13</v>
      </c>
    </row>
    <row r="12" spans="1:2" x14ac:dyDescent="0.25">
      <c r="A12" s="5" t="s">
        <v>73</v>
      </c>
      <c r="B12" s="1">
        <v>11</v>
      </c>
    </row>
    <row r="13" spans="1:2" x14ac:dyDescent="0.25">
      <c r="A13" s="5" t="s">
        <v>39</v>
      </c>
      <c r="B13" s="1">
        <v>16</v>
      </c>
    </row>
    <row r="14" spans="1:2" x14ac:dyDescent="0.25">
      <c r="A14" s="4" t="s">
        <v>164</v>
      </c>
      <c r="B14" s="1">
        <v>100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CE97-AC2F-4DA9-BCC7-5B0BEC440E15}">
  <dimension ref="A1:B5"/>
  <sheetViews>
    <sheetView workbookViewId="0">
      <selection activeCell="B3" sqref="B3"/>
    </sheetView>
  </sheetViews>
  <sheetFormatPr defaultRowHeight="15" x14ac:dyDescent="0.25"/>
  <cols>
    <col min="1" max="1" width="13.42578125" bestFit="1" customWidth="1"/>
    <col min="2" max="2" width="22.140625" bestFit="1" customWidth="1"/>
  </cols>
  <sheetData>
    <row r="1" spans="1:2" x14ac:dyDescent="0.25">
      <c r="A1" s="3" t="s">
        <v>163</v>
      </c>
      <c r="B1" t="s">
        <v>169</v>
      </c>
    </row>
    <row r="2" spans="1:2" x14ac:dyDescent="0.25">
      <c r="A2" s="4" t="s">
        <v>66</v>
      </c>
      <c r="B2" s="1">
        <v>58.653846153846153</v>
      </c>
    </row>
    <row r="3" spans="1:2" x14ac:dyDescent="0.25">
      <c r="A3" s="4" t="s">
        <v>33</v>
      </c>
      <c r="B3" s="1">
        <v>48.352941176470587</v>
      </c>
    </row>
    <row r="4" spans="1:2" x14ac:dyDescent="0.25">
      <c r="A4" s="4" t="s">
        <v>42</v>
      </c>
      <c r="B4" s="1">
        <v>40.200000000000003</v>
      </c>
    </row>
    <row r="5" spans="1:2" x14ac:dyDescent="0.25">
      <c r="A5" s="4" t="s">
        <v>164</v>
      </c>
      <c r="B5" s="1">
        <v>47.77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5530A-0DF9-4C8E-B5BD-924ADA89D52F}">
  <dimension ref="A1:B5"/>
  <sheetViews>
    <sheetView workbookViewId="0">
      <selection activeCell="N24" sqref="N24:O26"/>
    </sheetView>
  </sheetViews>
  <sheetFormatPr defaultRowHeight="15" x14ac:dyDescent="0.25"/>
  <cols>
    <col min="1" max="1" width="13.42578125" bestFit="1" customWidth="1"/>
    <col min="2" max="2" width="24.42578125" bestFit="1" customWidth="1"/>
  </cols>
  <sheetData>
    <row r="1" spans="1:2" x14ac:dyDescent="0.25">
      <c r="A1" s="3" t="s">
        <v>163</v>
      </c>
      <c r="B1" t="s">
        <v>167</v>
      </c>
    </row>
    <row r="2" spans="1:2" x14ac:dyDescent="0.25">
      <c r="A2" s="4" t="s">
        <v>45</v>
      </c>
      <c r="B2" s="1">
        <v>5.554922521651271</v>
      </c>
    </row>
    <row r="3" spans="1:2" x14ac:dyDescent="0.25">
      <c r="A3" s="4" t="s">
        <v>36</v>
      </c>
      <c r="B3" s="1">
        <v>5.5092469689287302</v>
      </c>
    </row>
    <row r="4" spans="1:2" x14ac:dyDescent="0.25">
      <c r="A4" s="4" t="s">
        <v>52</v>
      </c>
      <c r="B4" s="1">
        <v>5.5992916183375057</v>
      </c>
    </row>
    <row r="5" spans="1:2" x14ac:dyDescent="0.25">
      <c r="A5" s="4" t="s">
        <v>164</v>
      </c>
      <c r="B5" s="1">
        <v>5.5481490720195872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D09DF-BE44-479C-9A86-B208F3133DD1}">
  <dimension ref="A1:B7"/>
  <sheetViews>
    <sheetView workbookViewId="0">
      <selection activeCell="B1" sqref="B1"/>
    </sheetView>
  </sheetViews>
  <sheetFormatPr defaultRowHeight="15" x14ac:dyDescent="0.25"/>
  <cols>
    <col min="1" max="1" width="13.42578125" bestFit="1" customWidth="1"/>
    <col min="2" max="2" width="20" bestFit="1" customWidth="1"/>
  </cols>
  <sheetData>
    <row r="1" spans="1:2" x14ac:dyDescent="0.25">
      <c r="A1" s="3" t="s">
        <v>163</v>
      </c>
      <c r="B1" t="s">
        <v>172</v>
      </c>
    </row>
    <row r="2" spans="1:2" x14ac:dyDescent="0.25">
      <c r="A2" s="4" t="s">
        <v>48</v>
      </c>
      <c r="B2" s="1">
        <v>14.777777777777779</v>
      </c>
    </row>
    <row r="3" spans="1:2" x14ac:dyDescent="0.25">
      <c r="A3" s="4" t="s">
        <v>70</v>
      </c>
      <c r="B3" s="1">
        <v>18.545454545454547</v>
      </c>
    </row>
    <row r="4" spans="1:2" x14ac:dyDescent="0.25">
      <c r="A4" s="4" t="s">
        <v>37</v>
      </c>
      <c r="B4" s="1">
        <v>20.133333333333333</v>
      </c>
    </row>
    <row r="5" spans="1:2" x14ac:dyDescent="0.25">
      <c r="A5" s="4" t="s">
        <v>61</v>
      </c>
      <c r="B5" s="1">
        <v>15.222222222222221</v>
      </c>
    </row>
    <row r="6" spans="1:2" x14ac:dyDescent="0.25">
      <c r="A6" s="4" t="s">
        <v>53</v>
      </c>
      <c r="B6" s="1">
        <v>18.055555555555557</v>
      </c>
    </row>
    <row r="7" spans="1:2" x14ac:dyDescent="0.25">
      <c r="A7" s="4" t="s">
        <v>164</v>
      </c>
      <c r="B7" s="1">
        <v>17.079999999999998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00B39-B39F-40CE-8406-0D8CBE97563A}">
  <dimension ref="A1:B7"/>
  <sheetViews>
    <sheetView workbookViewId="0">
      <selection activeCell="B5" sqref="B5"/>
    </sheetView>
  </sheetViews>
  <sheetFormatPr defaultRowHeight="15" x14ac:dyDescent="0.25"/>
  <cols>
    <col min="1" max="1" width="13.42578125" bestFit="1" customWidth="1"/>
    <col min="2" max="2" width="26.28515625" bestFit="1" customWidth="1"/>
  </cols>
  <sheetData>
    <row r="1" spans="1:2" x14ac:dyDescent="0.25">
      <c r="A1" s="3" t="s">
        <v>163</v>
      </c>
      <c r="B1" t="s">
        <v>173</v>
      </c>
    </row>
    <row r="2" spans="1:2" x14ac:dyDescent="0.25">
      <c r="A2" s="4" t="s">
        <v>48</v>
      </c>
      <c r="B2" s="1">
        <v>13545</v>
      </c>
    </row>
    <row r="3" spans="1:2" x14ac:dyDescent="0.25">
      <c r="A3" s="4" t="s">
        <v>70</v>
      </c>
      <c r="B3" s="1">
        <v>14105</v>
      </c>
    </row>
    <row r="4" spans="1:2" x14ac:dyDescent="0.25">
      <c r="A4" s="4" t="s">
        <v>37</v>
      </c>
      <c r="B4" s="1">
        <v>7997</v>
      </c>
    </row>
    <row r="5" spans="1:2" x14ac:dyDescent="0.25">
      <c r="A5" s="4" t="s">
        <v>61</v>
      </c>
      <c r="B5" s="1">
        <v>11756</v>
      </c>
    </row>
    <row r="6" spans="1:2" x14ac:dyDescent="0.25">
      <c r="A6" s="4" t="s">
        <v>53</v>
      </c>
      <c r="B6" s="1">
        <v>9381</v>
      </c>
    </row>
    <row r="7" spans="1:2" x14ac:dyDescent="0.25">
      <c r="A7" s="4" t="s">
        <v>164</v>
      </c>
      <c r="B7" s="1">
        <v>56784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7B737-2823-4FB0-ABF2-1E943434C258}">
  <sheetPr>
    <tabColor theme="7" tint="-0.499984740745262"/>
  </sheetPr>
  <dimension ref="A1:V2"/>
  <sheetViews>
    <sheetView tabSelected="1" zoomScale="98" zoomScaleNormal="98" workbookViewId="0">
      <selection activeCell="K17" sqref="K17"/>
    </sheetView>
  </sheetViews>
  <sheetFormatPr defaultRowHeight="15" x14ac:dyDescent="0.25"/>
  <sheetData>
    <row r="1" spans="1:22" ht="26.25" x14ac:dyDescent="0.4">
      <c r="A1" s="6" t="s">
        <v>174</v>
      </c>
      <c r="B1" s="6"/>
      <c r="C1" s="6"/>
      <c r="D1" s="6"/>
      <c r="E1" s="6"/>
      <c r="F1" s="6"/>
      <c r="G1" s="6"/>
      <c r="H1" s="6"/>
      <c r="I1" s="6"/>
      <c r="J1" s="6"/>
      <c r="L1" s="11" t="s">
        <v>176</v>
      </c>
      <c r="M1" s="8"/>
      <c r="O1" s="11" t="s">
        <v>177</v>
      </c>
      <c r="P1" s="8"/>
      <c r="R1" s="12" t="s">
        <v>178</v>
      </c>
      <c r="S1" s="9"/>
      <c r="U1" s="11" t="s">
        <v>179</v>
      </c>
      <c r="V1" s="8"/>
    </row>
    <row r="2" spans="1:22" x14ac:dyDescent="0.25">
      <c r="A2" s="7" t="s">
        <v>175</v>
      </c>
      <c r="B2" s="7"/>
      <c r="C2" s="7"/>
      <c r="D2" s="7"/>
      <c r="E2" s="7"/>
      <c r="F2" s="7"/>
      <c r="G2" s="7"/>
      <c r="H2" s="7"/>
      <c r="I2" s="7"/>
      <c r="J2" s="7"/>
      <c r="L2" s="10">
        <v>100</v>
      </c>
      <c r="M2" s="10"/>
      <c r="O2" s="15">
        <f>Revenue!B5</f>
        <v>577604.81873800862</v>
      </c>
      <c r="P2" s="15"/>
      <c r="R2" s="13">
        <f>Defects!B7</f>
        <v>2.2771579927396108</v>
      </c>
      <c r="S2" s="13"/>
      <c r="U2" s="14">
        <f>'Lead Time By supplier'!B7</f>
        <v>17.079999999999998</v>
      </c>
      <c r="V2" s="14"/>
    </row>
  </sheetData>
  <mergeCells count="9">
    <mergeCell ref="U1:V1"/>
    <mergeCell ref="L2:M2"/>
    <mergeCell ref="O2:P2"/>
    <mergeCell ref="R2:S2"/>
    <mergeCell ref="U2:V2"/>
    <mergeCell ref="A1:J1"/>
    <mergeCell ref="A2:J2"/>
    <mergeCell ref="L1:M1"/>
    <mergeCell ref="O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1A4E03-D30B-4ED7-9138-7BF2B32530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archive (6)</vt:lpstr>
      <vt:lpstr>Products Table</vt:lpstr>
      <vt:lpstr>Revenue</vt:lpstr>
      <vt:lpstr>Defects</vt:lpstr>
      <vt:lpstr>Shipping Cost</vt:lpstr>
      <vt:lpstr>Stock vs Sales</vt:lpstr>
      <vt:lpstr> Mfg Cost vs Revenue</vt:lpstr>
      <vt:lpstr>Inspection Faliure by prod-typ </vt:lpstr>
      <vt:lpstr>Avg stck lvl by prod type</vt:lpstr>
      <vt:lpstr>Shipping Cost by carrier</vt:lpstr>
      <vt:lpstr>Lead Time By supplier</vt:lpstr>
      <vt:lpstr> Production Volume by Supplier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Hasnay Hasin</dc:creator>
  <cp:lastModifiedBy>Hasnay Hasin</cp:lastModifiedBy>
  <dcterms:created xsi:type="dcterms:W3CDTF">2026-05-10T20:28:52Z</dcterms:created>
  <dcterms:modified xsi:type="dcterms:W3CDTF">2026-05-11T14:12:04Z</dcterms:modified>
</cp:coreProperties>
</file>